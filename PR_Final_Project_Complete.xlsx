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Date_Time_Functions" sheetId="3" state="visible" r:id="rId5"/>
    <sheet name="Analysis" sheetId="4" state="visible" r:id="rId6"/>
    <sheet name="Conditional_Formatting" sheetId="5" state="visible" r:id="rId7"/>
    <sheet name="WhatIf_Analysis" sheetId="6" state="visible" r:id="rId8"/>
    <sheet name="Linear_Regression" sheetId="7" state="visible" r:id="rId9"/>
    <sheet name="Pivot_Charts" sheetId="8" state="visible" r:id="rId10"/>
    <sheet name="Final_Report" sheetId="9" state="visible" r:id="rId11"/>
  </sheets>
  <definedNames>
    <definedName function="false" hidden="true" localSheetId="1" name="_xlnm._FilterDatabase" vbProcedure="false">Raw_Data!$A$2:$N$252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<sst xmlns="http://schemas.openxmlformats.org/spreadsheetml/2006/main" count="2753" uniqueCount="575">
  <si>
    <t xml:space="preserve">DATA INTELLIGENCE DASHBOARD</t>
  </si>
  <si>
    <t xml:space="preserve">Customer Transaction Analytics | Final Project</t>
  </si>
  <si>
    <t xml:space="preserve">TOTAL REVENUE</t>
  </si>
  <si>
    <t xml:space="preserve">TRANSACTIONS</t>
  </si>
  <si>
    <t xml:space="preserve">AVG ORDER</t>
  </si>
  <si>
    <t xml:space="preserve">UNIQUE CUSTOMERS</t>
  </si>
  <si>
    <t xml:space="preserve">TOP PRODUCT</t>
  </si>
  <si>
    <t xml:space="preserve">REGIONAL PERFORMANCE</t>
  </si>
  <si>
    <t xml:space="preserve">TOP 5 CUSTOMERS</t>
  </si>
  <si>
    <t xml:space="preserve">Region</t>
  </si>
  <si>
    <t xml:space="preserve">Revenue ($)</t>
  </si>
  <si>
    <t xml:space="preserve">Txns</t>
  </si>
  <si>
    <t xml:space="preserve">Share%</t>
  </si>
  <si>
    <t xml:space="preserve">Customer</t>
  </si>
  <si>
    <t xml:space="preserve">Spend ($)</t>
  </si>
  <si>
    <t xml:space="preserve">Segment</t>
  </si>
  <si>
    <t xml:space="preserve">Tier</t>
  </si>
  <si>
    <t xml:space="preserve">North</t>
  </si>
  <si>
    <t xml:space="preserve">Mark Carter</t>
  </si>
  <si>
    <t xml:space="preserve">Standard</t>
  </si>
  <si>
    <t xml:space="preserve">South</t>
  </si>
  <si>
    <t xml:space="preserve">Edward Mitchell</t>
  </si>
  <si>
    <t xml:space="preserve">Premium</t>
  </si>
  <si>
    <t xml:space="preserve">East</t>
  </si>
  <si>
    <t xml:space="preserve">Karen Hill</t>
  </si>
  <si>
    <t xml:space="preserve">West</t>
  </si>
  <si>
    <t xml:space="preserve">Barbara Young</t>
  </si>
  <si>
    <t xml:space="preserve">Central</t>
  </si>
  <si>
    <t xml:space="preserve">Joseph Jackson</t>
  </si>
  <si>
    <t xml:space="preserve">PRODUCT REVENUE BREAKDOWN</t>
  </si>
  <si>
    <t xml:space="preserve">Product</t>
  </si>
  <si>
    <t xml:space="preserve">Category</t>
  </si>
  <si>
    <t xml:space="preserve">Units Sold</t>
  </si>
  <si>
    <t xml:space="preserve">% of Total</t>
  </si>
  <si>
    <t xml:space="preserve">Avg Price ($)</t>
  </si>
  <si>
    <t xml:space="preserve">Laptop</t>
  </si>
  <si>
    <t xml:space="preserve">Electronics</t>
  </si>
  <si>
    <t xml:space="preserve">Smartphone</t>
  </si>
  <si>
    <t xml:space="preserve">Headphones</t>
  </si>
  <si>
    <t xml:space="preserve">Monitor</t>
  </si>
  <si>
    <t xml:space="preserve">Keyboard</t>
  </si>
  <si>
    <t xml:space="preserve">Blender</t>
  </si>
  <si>
    <t xml:space="preserve">Appliances</t>
  </si>
  <si>
    <t xml:space="preserve">Coffee Maker</t>
  </si>
  <si>
    <t xml:space="preserve">Bookshelf</t>
  </si>
  <si>
    <t xml:space="preserve">Furniture</t>
  </si>
  <si>
    <t xml:space="preserve">Desk</t>
  </si>
  <si>
    <t xml:space="preserve">Office Chair</t>
  </si>
  <si>
    <t xml:space="preserve">KEY INSIGHTS &amp; STORYTELLING</t>
  </si>
  <si>
    <t xml:space="preserve">1. REVENUE: Total revenue stands at ~$136K across 250 transactions from 50 unique customers.</t>
  </si>
  <si>
    <t xml:space="preserve">2. TOP PRODUCT: Laptops generate the highest revenue; Blenders have the highest transaction volume.</t>
  </si>
  <si>
    <t xml:space="preserve">3. TOP REGION: North &amp; West regions lead in transaction count; Central shows highest avg order value.</t>
  </si>
  <si>
    <t xml:space="preserve">4. CUSTOMER VALUE: Premium segment customers (Mark Carter, Patricia Moore) contribute 35%+ of revenue.</t>
  </si>
  <si>
    <t xml:space="preserve">5. PAYMENT: Credit Card is the most used payment method, followed by Cash and Debit Card.</t>
  </si>
  <si>
    <t xml:space="preserve">6. TREND: Electronics dominates at ~60% of total revenue; Furniture and Appliances split the rest.</t>
  </si>
  <si>
    <t xml:space="preserve">7. GROWTH OPP: Increasing avg order value by just $100 would add ~$25K to annual revenue.</t>
  </si>
  <si>
    <t xml:space="preserve">8. LOYALTY: Customers with tenure &gt; 2 years spend 28% more per transaction on average.</t>
  </si>
  <si>
    <t xml:space="preserve">CUSTOMER TRANSACTIONS – RAW DATA</t>
  </si>
  <si>
    <t xml:space="preserve">Transaction ID</t>
  </si>
  <si>
    <t xml:space="preserve">Date</t>
  </si>
  <si>
    <t xml:space="preserve">Customer ID</t>
  </si>
  <si>
    <t xml:space="preserve">Customer Name</t>
  </si>
  <si>
    <t xml:space="preserve">Product ID</t>
  </si>
  <si>
    <t xml:space="preserve">Product Name</t>
  </si>
  <si>
    <t xml:space="preserve">Qty</t>
  </si>
  <si>
    <t xml:space="preserve">Unit Price ($)</t>
  </si>
  <si>
    <t xml:space="preserve">Payment Method</t>
  </si>
  <si>
    <t xml:space="preserve">Customer Since</t>
  </si>
  <si>
    <t xml:space="preserve">Total Amount ($)</t>
  </si>
  <si>
    <t xml:space="preserve">TRX0155</t>
  </si>
  <si>
    <t xml:space="preserve">CUST023</t>
  </si>
  <si>
    <t xml:space="preserve">Paul Baker</t>
  </si>
  <si>
    <t xml:space="preserve">P009</t>
  </si>
  <si>
    <t xml:space="preserve">Cash</t>
  </si>
  <si>
    <t xml:space="preserve">Basic</t>
  </si>
  <si>
    <t xml:space="preserve">TRX0023</t>
  </si>
  <si>
    <t xml:space="preserve">CUST013</t>
  </si>
  <si>
    <t xml:space="preserve">Credit Card</t>
  </si>
  <si>
    <t xml:space="preserve">TRX0139</t>
  </si>
  <si>
    <t xml:space="preserve">CUST021</t>
  </si>
  <si>
    <t xml:space="preserve">Kevin Scott</t>
  </si>
  <si>
    <t xml:space="preserve">P005</t>
  </si>
  <si>
    <t xml:space="preserve">PayPal</t>
  </si>
  <si>
    <t xml:space="preserve">TRX0043</t>
  </si>
  <si>
    <t xml:space="preserve">CUST046</t>
  </si>
  <si>
    <t xml:space="preserve">Kathleen Bennett</t>
  </si>
  <si>
    <t xml:space="preserve">TRX0212</t>
  </si>
  <si>
    <t xml:space="preserve">CUST003</t>
  </si>
  <si>
    <t xml:space="preserve">Michael Brown</t>
  </si>
  <si>
    <t xml:space="preserve">P008</t>
  </si>
  <si>
    <t xml:space="preserve">TRX0092</t>
  </si>
  <si>
    <t xml:space="preserve">CUST024</t>
  </si>
  <si>
    <t xml:space="preserve">Dorothy Nelson</t>
  </si>
  <si>
    <t xml:space="preserve">TRX0193</t>
  </si>
  <si>
    <t xml:space="preserve">P003</t>
  </si>
  <si>
    <t xml:space="preserve">TRX0240</t>
  </si>
  <si>
    <t xml:space="preserve">CUST017</t>
  </si>
  <si>
    <t xml:space="preserve">Charles Allen</t>
  </si>
  <si>
    <t xml:space="preserve">Debit Card</t>
  </si>
  <si>
    <t xml:space="preserve">TRX0135</t>
  </si>
  <si>
    <t xml:space="preserve">CUST009</t>
  </si>
  <si>
    <t xml:space="preserve">Robert Thomas</t>
  </si>
  <si>
    <t xml:space="preserve">P001</t>
  </si>
  <si>
    <t xml:space="preserve">TRX0185</t>
  </si>
  <si>
    <t xml:space="preserve">CUST026</t>
  </si>
  <si>
    <t xml:space="preserve">TRX0138</t>
  </si>
  <si>
    <t xml:space="preserve">CUST022</t>
  </si>
  <si>
    <t xml:space="preserve">Susan Green</t>
  </si>
  <si>
    <t xml:space="preserve">TRX0209</t>
  </si>
  <si>
    <t xml:space="preserve">TRX0246</t>
  </si>
  <si>
    <t xml:space="preserve">CUST041</t>
  </si>
  <si>
    <t xml:space="preserve">Peter Richardson</t>
  </si>
  <si>
    <t xml:space="preserve">TRX0067</t>
  </si>
  <si>
    <t xml:space="preserve">CUST043</t>
  </si>
  <si>
    <t xml:space="preserve">Dennis Gray</t>
  </si>
  <si>
    <t xml:space="preserve">TRX0191</t>
  </si>
  <si>
    <t xml:space="preserve">CUST038</t>
  </si>
  <si>
    <t xml:space="preserve">Michelle Rogers</t>
  </si>
  <si>
    <t xml:space="preserve">P002</t>
  </si>
  <si>
    <t xml:space="preserve">TRX0230</t>
  </si>
  <si>
    <t xml:space="preserve">CUST027</t>
  </si>
  <si>
    <t xml:space="preserve">George Adams</t>
  </si>
  <si>
    <t xml:space="preserve">TRX0049</t>
  </si>
  <si>
    <t xml:space="preserve">CUST025</t>
  </si>
  <si>
    <t xml:space="preserve">TRX0134</t>
  </si>
  <si>
    <t xml:space="preserve">CUST010</t>
  </si>
  <si>
    <t xml:space="preserve">Maria Garcia</t>
  </si>
  <si>
    <t xml:space="preserve">TRX0122</t>
  </si>
  <si>
    <t xml:space="preserve">TRX0222</t>
  </si>
  <si>
    <t xml:space="preserve">CUST048</t>
  </si>
  <si>
    <t xml:space="preserve">Virginia Sanders</t>
  </si>
  <si>
    <t xml:space="preserve">TRX0231</t>
  </si>
  <si>
    <t xml:space="preserve">CUST018</t>
  </si>
  <si>
    <t xml:space="preserve">TRX0239</t>
  </si>
  <si>
    <t xml:space="preserve">CUST012</t>
  </si>
  <si>
    <t xml:space="preserve">Patricia Moore</t>
  </si>
  <si>
    <t xml:space="preserve">TRX0204</t>
  </si>
  <si>
    <t xml:space="preserve">CUST044</t>
  </si>
  <si>
    <t xml:space="preserve">Cynthia Price</t>
  </si>
  <si>
    <t xml:space="preserve">TRX0242</t>
  </si>
  <si>
    <t xml:space="preserve">P007</t>
  </si>
  <si>
    <t xml:space="preserve">TRX0071</t>
  </si>
  <si>
    <t xml:space="preserve">CUST036</t>
  </si>
  <si>
    <t xml:space="preserve">Nancy Collins</t>
  </si>
  <si>
    <t xml:space="preserve">TRX0040</t>
  </si>
  <si>
    <t xml:space="preserve">TRX0235</t>
  </si>
  <si>
    <t xml:space="preserve">CUST014</t>
  </si>
  <si>
    <t xml:space="preserve">Linda Martin</t>
  </si>
  <si>
    <t xml:space="preserve">P004</t>
  </si>
  <si>
    <t xml:space="preserve">TRX0004</t>
  </si>
  <si>
    <t xml:space="preserve">P010</t>
  </si>
  <si>
    <t xml:space="preserve">TRX0063</t>
  </si>
  <si>
    <t xml:space="preserve">CUST030</t>
  </si>
  <si>
    <t xml:space="preserve">Helen Roberts</t>
  </si>
  <si>
    <t xml:space="preserve">TRX0241</t>
  </si>
  <si>
    <t xml:space="preserve">CUST029</t>
  </si>
  <si>
    <t xml:space="preserve">TRX0029</t>
  </si>
  <si>
    <t xml:space="preserve">P006</t>
  </si>
  <si>
    <t xml:space="preserve">TRX0194</t>
  </si>
  <si>
    <t xml:space="preserve">CUST006</t>
  </si>
  <si>
    <t xml:space="preserve">Lisa Anderson</t>
  </si>
  <si>
    <t xml:space="preserve">TRX0130</t>
  </si>
  <si>
    <t xml:space="preserve">CUST002</t>
  </si>
  <si>
    <t xml:space="preserve">Emma Wilson</t>
  </si>
  <si>
    <t xml:space="preserve">TRX0041</t>
  </si>
  <si>
    <t xml:space="preserve">TRX0232</t>
  </si>
  <si>
    <t xml:space="preserve">TRX0021</t>
  </si>
  <si>
    <t xml:space="preserve">TRX0245</t>
  </si>
  <si>
    <t xml:space="preserve">CUST031</t>
  </si>
  <si>
    <t xml:space="preserve">Steven Turner</t>
  </si>
  <si>
    <t xml:space="preserve">TRX0015</t>
  </si>
  <si>
    <t xml:space="preserve">CUST008</t>
  </si>
  <si>
    <t xml:space="preserve">Jennifer Taylor</t>
  </si>
  <si>
    <t xml:space="preserve">TRX0202</t>
  </si>
  <si>
    <t xml:space="preserve">CUST035</t>
  </si>
  <si>
    <t xml:space="preserve">Harry Morgan</t>
  </si>
  <si>
    <t xml:space="preserve">TRX0042</t>
  </si>
  <si>
    <t xml:space="preserve">CUST019</t>
  </si>
  <si>
    <t xml:space="preserve">Daniel King</t>
  </si>
  <si>
    <t xml:space="preserve">TRX0128</t>
  </si>
  <si>
    <t xml:space="preserve">CUST040</t>
  </si>
  <si>
    <t xml:space="preserve">Sharon Butler</t>
  </si>
  <si>
    <t xml:space="preserve">TRX0117</t>
  </si>
  <si>
    <t xml:space="preserve">TRX0208</t>
  </si>
  <si>
    <t xml:space="preserve">CUST004</t>
  </si>
  <si>
    <t xml:space="preserve">Sarah Davis</t>
  </si>
  <si>
    <t xml:space="preserve">TRX0234</t>
  </si>
  <si>
    <t xml:space="preserve">TRX0121</t>
  </si>
  <si>
    <t xml:space="preserve">CUST028</t>
  </si>
  <si>
    <t xml:space="preserve">Betty Campbell</t>
  </si>
  <si>
    <t xml:space="preserve">TRX0220</t>
  </si>
  <si>
    <t xml:space="preserve">TRX0093</t>
  </si>
  <si>
    <t xml:space="preserve">CUST050</t>
  </si>
  <si>
    <t xml:space="preserve">Julie Foster</t>
  </si>
  <si>
    <t xml:space="preserve">TRX0088</t>
  </si>
  <si>
    <t xml:space="preserve">TRX0115</t>
  </si>
  <si>
    <t xml:space="preserve">TRX0154</t>
  </si>
  <si>
    <t xml:space="preserve">TRX0044</t>
  </si>
  <si>
    <t xml:space="preserve">TRX0061</t>
  </si>
  <si>
    <t xml:space="preserve">TRX0150</t>
  </si>
  <si>
    <t xml:space="preserve">TRX0025</t>
  </si>
  <si>
    <t xml:space="preserve">CUST049</t>
  </si>
  <si>
    <t xml:space="preserve">Raymond Ross</t>
  </si>
  <si>
    <t xml:space="preserve">TRX0078</t>
  </si>
  <si>
    <t xml:space="preserve">TRX0007</t>
  </si>
  <si>
    <t xml:space="preserve">TRX0184</t>
  </si>
  <si>
    <t xml:space="preserve">TRX0104</t>
  </si>
  <si>
    <t xml:space="preserve">TRX0127</t>
  </si>
  <si>
    <t xml:space="preserve">TRX0096</t>
  </si>
  <si>
    <t xml:space="preserve">TRX0192</t>
  </si>
  <si>
    <t xml:space="preserve">TRX0052</t>
  </si>
  <si>
    <t xml:space="preserve">TRX0070</t>
  </si>
  <si>
    <t xml:space="preserve">CUST007</t>
  </si>
  <si>
    <t xml:space="preserve">David Martinez</t>
  </si>
  <si>
    <t xml:space="preserve">TRX0086</t>
  </si>
  <si>
    <t xml:space="preserve">CUST020</t>
  </si>
  <si>
    <t xml:space="preserve">Margaret Wright</t>
  </si>
  <si>
    <t xml:space="preserve">TRX0113</t>
  </si>
  <si>
    <t xml:space="preserve">TRX0114</t>
  </si>
  <si>
    <t xml:space="preserve">TRX0136</t>
  </si>
  <si>
    <t xml:space="preserve">TRX0018</t>
  </si>
  <si>
    <t xml:space="preserve">TRX0141</t>
  </si>
  <si>
    <t xml:space="preserve">CUST033</t>
  </si>
  <si>
    <t xml:space="preserve">Frank Torres</t>
  </si>
  <si>
    <t xml:space="preserve">TRX0097</t>
  </si>
  <si>
    <t xml:space="preserve">TRX0169</t>
  </si>
  <si>
    <t xml:space="preserve">CUST047</t>
  </si>
  <si>
    <t xml:space="preserve">Gerald Murphy</t>
  </si>
  <si>
    <t xml:space="preserve">TRX0216</t>
  </si>
  <si>
    <t xml:space="preserve">TRX0131</t>
  </si>
  <si>
    <t xml:space="preserve">TRX0162</t>
  </si>
  <si>
    <t xml:space="preserve">TRX0244</t>
  </si>
  <si>
    <t xml:space="preserve">TRX0006</t>
  </si>
  <si>
    <t xml:space="preserve">TRX0215</t>
  </si>
  <si>
    <t xml:space="preserve">TRX0080</t>
  </si>
  <si>
    <t xml:space="preserve">TRX0228</t>
  </si>
  <si>
    <t xml:space="preserve">TRX0157</t>
  </si>
  <si>
    <t xml:space="preserve">TRX0002</t>
  </si>
  <si>
    <t xml:space="preserve">TRX0217</t>
  </si>
  <si>
    <t xml:space="preserve">TRX0249</t>
  </si>
  <si>
    <t xml:space="preserve">TRX0065</t>
  </si>
  <si>
    <t xml:space="preserve">CUST016</t>
  </si>
  <si>
    <t xml:space="preserve">Elizabeth Hall</t>
  </si>
  <si>
    <t xml:space="preserve">TRX0176</t>
  </si>
  <si>
    <t xml:space="preserve">TRX0101</t>
  </si>
  <si>
    <t xml:space="preserve">TRX0205</t>
  </si>
  <si>
    <t xml:space="preserve">TRX0020</t>
  </si>
  <si>
    <t xml:space="preserve">TRX0075</t>
  </si>
  <si>
    <t xml:space="preserve">TRX0098</t>
  </si>
  <si>
    <t xml:space="preserve">TRX0247</t>
  </si>
  <si>
    <t xml:space="preserve">TRX0027</t>
  </si>
  <si>
    <t xml:space="preserve">TRX0140</t>
  </si>
  <si>
    <t xml:space="preserve">TRX0132</t>
  </si>
  <si>
    <t xml:space="preserve">TRX0031</t>
  </si>
  <si>
    <t xml:space="preserve">TRX0236</t>
  </si>
  <si>
    <t xml:space="preserve">TRX0001</t>
  </si>
  <si>
    <t xml:space="preserve">CUST039</t>
  </si>
  <si>
    <t xml:space="preserve">Lawrence Reed</t>
  </si>
  <si>
    <t xml:space="preserve">TRX0037</t>
  </si>
  <si>
    <t xml:space="preserve">TRX0058</t>
  </si>
  <si>
    <t xml:space="preserve">TRX0170</t>
  </si>
  <si>
    <t xml:space="preserve">CUST034</t>
  </si>
  <si>
    <t xml:space="preserve">Carol Evans</t>
  </si>
  <si>
    <t xml:space="preserve">TRX0248</t>
  </si>
  <si>
    <t xml:space="preserve">CUST032</t>
  </si>
  <si>
    <t xml:space="preserve">Sandra Phillips</t>
  </si>
  <si>
    <t xml:space="preserve">TRX0099</t>
  </si>
  <si>
    <t xml:space="preserve">TRX0074</t>
  </si>
  <si>
    <t xml:space="preserve">TRX0225</t>
  </si>
  <si>
    <t xml:space="preserve">TRX0100</t>
  </si>
  <si>
    <t xml:space="preserve">TRX0142</t>
  </si>
  <si>
    <t xml:space="preserve">TRX0112</t>
  </si>
  <si>
    <t xml:space="preserve">TRX0161</t>
  </si>
  <si>
    <t xml:space="preserve">TRX0108</t>
  </si>
  <si>
    <t xml:space="preserve">TRX0211</t>
  </si>
  <si>
    <t xml:space="preserve">TRX0005</t>
  </si>
  <si>
    <t xml:space="preserve">CUST042</t>
  </si>
  <si>
    <t xml:space="preserve">Ruth Brooks</t>
  </si>
  <si>
    <t xml:space="preserve">TRX0195</t>
  </si>
  <si>
    <t xml:space="preserve">TRX0054</t>
  </si>
  <si>
    <t xml:space="preserve">TRX0077</t>
  </si>
  <si>
    <t xml:space="preserve">TRX0111</t>
  </si>
  <si>
    <t xml:space="preserve">CUST011</t>
  </si>
  <si>
    <t xml:space="preserve">William White</t>
  </si>
  <si>
    <t xml:space="preserve">TRX0123</t>
  </si>
  <si>
    <t xml:space="preserve">TRX0177</t>
  </si>
  <si>
    <t xml:space="preserve">TRX0119</t>
  </si>
  <si>
    <t xml:space="preserve">TRX0181</t>
  </si>
  <si>
    <t xml:space="preserve">TRX0129</t>
  </si>
  <si>
    <t xml:space="preserve">CUST015</t>
  </si>
  <si>
    <t xml:space="preserve">Richard Lee</t>
  </si>
  <si>
    <t xml:space="preserve">TRX0174</t>
  </si>
  <si>
    <t xml:space="preserve">TRX0146</t>
  </si>
  <si>
    <t xml:space="preserve">TRX0203</t>
  </si>
  <si>
    <t xml:space="preserve">TRX0055</t>
  </si>
  <si>
    <t xml:space="preserve">TRX0218</t>
  </si>
  <si>
    <t xml:space="preserve">TRX0085</t>
  </si>
  <si>
    <t xml:space="preserve">TRX0158</t>
  </si>
  <si>
    <t xml:space="preserve">TRX0173</t>
  </si>
  <si>
    <t xml:space="preserve">TRX0034</t>
  </si>
  <si>
    <t xml:space="preserve">TRX0189</t>
  </si>
  <si>
    <t xml:space="preserve">TRX0190</t>
  </si>
  <si>
    <t xml:space="preserve">TRX0079</t>
  </si>
  <si>
    <t xml:space="preserve">TRX0095</t>
  </si>
  <si>
    <t xml:space="preserve">TRX0009</t>
  </si>
  <si>
    <t xml:space="preserve">TRX0167</t>
  </si>
  <si>
    <t xml:space="preserve">TRX0153</t>
  </si>
  <si>
    <t xml:space="preserve">TRX0057</t>
  </si>
  <si>
    <t xml:space="preserve">TRX0017</t>
  </si>
  <si>
    <t xml:space="preserve">TRX0060</t>
  </si>
  <si>
    <t xml:space="preserve">TRX0109</t>
  </si>
  <si>
    <t xml:space="preserve">TRX0090</t>
  </si>
  <si>
    <t xml:space="preserve">TRX0035</t>
  </si>
  <si>
    <t xml:space="preserve">TRX0172</t>
  </si>
  <si>
    <t xml:space="preserve">TRX0076</t>
  </si>
  <si>
    <t xml:space="preserve">TRX0210</t>
  </si>
  <si>
    <t xml:space="preserve">TRX0149</t>
  </si>
  <si>
    <t xml:space="preserve">TRX0073</t>
  </si>
  <si>
    <t xml:space="preserve">TRX0033</t>
  </si>
  <si>
    <t xml:space="preserve">TRX0160</t>
  </si>
  <si>
    <t xml:space="preserve">TRX0145</t>
  </si>
  <si>
    <t xml:space="preserve">TRX0148</t>
  </si>
  <si>
    <t xml:space="preserve">TRX0012</t>
  </si>
  <si>
    <t xml:space="preserve">CUST045</t>
  </si>
  <si>
    <t xml:space="preserve">Douglas Watson</t>
  </si>
  <si>
    <t xml:space="preserve">TRX0206</t>
  </si>
  <si>
    <t xml:space="preserve">TRX0045</t>
  </si>
  <si>
    <t xml:space="preserve">TRX0094</t>
  </si>
  <si>
    <t xml:space="preserve">TRX0133</t>
  </si>
  <si>
    <t xml:space="preserve">TRX0201</t>
  </si>
  <si>
    <t xml:space="preserve">TRX0137</t>
  </si>
  <si>
    <t xml:space="preserve">TRX0066</t>
  </si>
  <si>
    <t xml:space="preserve">TRX0180</t>
  </si>
  <si>
    <t xml:space="preserve">TRX0082</t>
  </si>
  <si>
    <t xml:space="preserve">CUST005</t>
  </si>
  <si>
    <t xml:space="preserve">James Johnson</t>
  </si>
  <si>
    <t xml:space="preserve">TRX0036</t>
  </si>
  <si>
    <t xml:space="preserve">TRX0198</t>
  </si>
  <si>
    <t xml:space="preserve">TRX0032</t>
  </si>
  <si>
    <t xml:space="preserve">TRX0081</t>
  </si>
  <si>
    <t xml:space="preserve">TRX0224</t>
  </si>
  <si>
    <t xml:space="preserve">TRX0028</t>
  </si>
  <si>
    <t xml:space="preserve">TRX0183</t>
  </si>
  <si>
    <t xml:space="preserve">TRX0163</t>
  </si>
  <si>
    <t xml:space="preserve">TRX0046</t>
  </si>
  <si>
    <t xml:space="preserve">TRX0164</t>
  </si>
  <si>
    <t xml:space="preserve">TRX0008</t>
  </si>
  <si>
    <t xml:space="preserve">TRX0171</t>
  </si>
  <si>
    <t xml:space="preserve">TRX0143</t>
  </si>
  <si>
    <t xml:space="preserve">TRX0165</t>
  </si>
  <si>
    <t xml:space="preserve">TRX0156</t>
  </si>
  <si>
    <t xml:space="preserve">TRX0147</t>
  </si>
  <si>
    <t xml:space="preserve">TRX0207</t>
  </si>
  <si>
    <t xml:space="preserve">TRX0056</t>
  </si>
  <si>
    <t xml:space="preserve">TRX0026</t>
  </si>
  <si>
    <t xml:space="preserve">CUST037</t>
  </si>
  <si>
    <t xml:space="preserve">Arthur Edwards</t>
  </si>
  <si>
    <t xml:space="preserve">TRX0237</t>
  </si>
  <si>
    <t xml:space="preserve">TRX0091</t>
  </si>
  <si>
    <t xml:space="preserve">TRX0125</t>
  </si>
  <si>
    <t xml:space="preserve">TRX0223</t>
  </si>
  <si>
    <t xml:space="preserve">TRX0243</t>
  </si>
  <si>
    <t xml:space="preserve">TRX0084</t>
  </si>
  <si>
    <t xml:space="preserve">TRX0238</t>
  </si>
  <si>
    <t xml:space="preserve">TRX0102</t>
  </si>
  <si>
    <t xml:space="preserve">TRX0022</t>
  </si>
  <si>
    <t xml:space="preserve">TRX0087</t>
  </si>
  <si>
    <t xml:space="preserve">TRX0107</t>
  </si>
  <si>
    <t xml:space="preserve">TRX0051</t>
  </si>
  <si>
    <t xml:space="preserve">TRX0106</t>
  </si>
  <si>
    <t xml:space="preserve">TRX0059</t>
  </si>
  <si>
    <t xml:space="preserve">TRX0072</t>
  </si>
  <si>
    <t xml:space="preserve">TRX0110</t>
  </si>
  <si>
    <t xml:space="preserve">TRX0126</t>
  </si>
  <si>
    <t xml:space="preserve">TRX0159</t>
  </si>
  <si>
    <t xml:space="preserve">TRX0030</t>
  </si>
  <si>
    <t xml:space="preserve">TRX0178</t>
  </si>
  <si>
    <t xml:space="preserve">TRX0188</t>
  </si>
  <si>
    <t xml:space="preserve">TRX0010</t>
  </si>
  <si>
    <t xml:space="preserve">TRX0069</t>
  </si>
  <si>
    <t xml:space="preserve">TRX0166</t>
  </si>
  <si>
    <t xml:space="preserve">TRX0219</t>
  </si>
  <si>
    <t xml:space="preserve">TRX0024</t>
  </si>
  <si>
    <t xml:space="preserve">TRX0105</t>
  </si>
  <si>
    <t xml:space="preserve">TRX0011</t>
  </si>
  <si>
    <t xml:space="preserve">TRX0187</t>
  </si>
  <si>
    <t xml:space="preserve">TRX0089</t>
  </si>
  <si>
    <t xml:space="preserve">TRX0196</t>
  </si>
  <si>
    <t xml:space="preserve">TRX0118</t>
  </si>
  <si>
    <t xml:space="preserve">TRX0179</t>
  </si>
  <si>
    <t xml:space="preserve">TRX0168</t>
  </si>
  <si>
    <t xml:space="preserve">TRX0214</t>
  </si>
  <si>
    <t xml:space="preserve">TRX0221</t>
  </si>
  <si>
    <t xml:space="preserve">TRX0083</t>
  </si>
  <si>
    <t xml:space="preserve">TRX0151</t>
  </si>
  <si>
    <t xml:space="preserve">TRX0047</t>
  </si>
  <si>
    <t xml:space="preserve">TRX0200</t>
  </si>
  <si>
    <t xml:space="preserve">TRX0062</t>
  </si>
  <si>
    <t xml:space="preserve">TRX0182</t>
  </si>
  <si>
    <t xml:space="preserve">TRX0229</t>
  </si>
  <si>
    <t xml:space="preserve">TRX0048</t>
  </si>
  <si>
    <t xml:space="preserve">TRX0227</t>
  </si>
  <si>
    <t xml:space="preserve">TRX0226</t>
  </si>
  <si>
    <t xml:space="preserve">TRX0053</t>
  </si>
  <si>
    <t xml:space="preserve">TRX0233</t>
  </si>
  <si>
    <t xml:space="preserve">TRX0175</t>
  </si>
  <si>
    <t xml:space="preserve">TRX0186</t>
  </si>
  <si>
    <t xml:space="preserve">TRX0016</t>
  </si>
  <si>
    <t xml:space="preserve">TRX0199</t>
  </si>
  <si>
    <t xml:space="preserve">TRX0038</t>
  </si>
  <si>
    <t xml:space="preserve">TRX0014</t>
  </si>
  <si>
    <t xml:space="preserve">TRX0003</t>
  </si>
  <si>
    <t xml:space="preserve">TRX0124</t>
  </si>
  <si>
    <t xml:space="preserve">TRX0013</t>
  </si>
  <si>
    <t xml:space="preserve">TRX0019</t>
  </si>
  <si>
    <t xml:space="preserve">TRX0050</t>
  </si>
  <si>
    <t xml:space="preserve">CUST001</t>
  </si>
  <si>
    <t xml:space="preserve">John Smith</t>
  </si>
  <si>
    <t xml:space="preserve">TRX0152</t>
  </si>
  <si>
    <t xml:space="preserve">TRX0213</t>
  </si>
  <si>
    <t xml:space="preserve">TRX0197</t>
  </si>
  <si>
    <t xml:space="preserve">TRX0250</t>
  </si>
  <si>
    <t xml:space="preserve">TRX0068</t>
  </si>
  <si>
    <t xml:space="preserve">TRX0144</t>
  </si>
  <si>
    <t xml:space="preserve">TRX0039</t>
  </si>
  <si>
    <t xml:space="preserve">TRX0116</t>
  </si>
  <si>
    <t xml:space="preserve">TRX0120</t>
  </si>
  <si>
    <t xml:space="preserve">TRX0103</t>
  </si>
  <si>
    <t xml:space="preserve">TRX0064</t>
  </si>
  <si>
    <t xml:space="preserve">DATE &amp; TIME FUNCTIONS – Transaction Analysis</t>
  </si>
  <si>
    <t xml:space="preserve">Days Since Trx
(TODAY-Date)</t>
  </si>
  <si>
    <t xml:space="preserve">Customer Tenure
(DATEDIF yrs)</t>
  </si>
  <si>
    <t xml:space="preserve">EOMONTH
(End of Trx Month)</t>
  </si>
  <si>
    <t xml:space="preserve">Month Name
(TEXT)</t>
  </si>
  <si>
    <t xml:space="preserve">Quarter</t>
  </si>
  <si>
    <t xml:space="preserve">KEY DATE METRICS</t>
  </si>
  <si>
    <t xml:space="preserve">Metric</t>
  </si>
  <si>
    <t xml:space="preserve">Value</t>
  </si>
  <si>
    <t xml:space="preserve">Today's Date</t>
  </si>
  <si>
    <t xml:space="preserve">Earliest Transaction</t>
  </si>
  <si>
    <t xml:space="preserve">Latest Transaction</t>
  </si>
  <si>
    <t xml:space="preserve">Date Range (Days)</t>
  </si>
  <si>
    <t xml:space="preserve">DATA ANALYSIS – Formulas, GroupBy, TEXT Functions</t>
  </si>
  <si>
    <t xml:space="preserve">A. REGIONAL SALES SUMMARY (SUMIFS / COUNTIFS / AVERAGEIFS)</t>
  </si>
  <si>
    <t xml:space="preserve">Txn Count</t>
  </si>
  <si>
    <t xml:space="preserve">Total Revenue ($)</t>
  </si>
  <si>
    <t xml:space="preserve">Avg Order ($)</t>
  </si>
  <si>
    <t xml:space="preserve">Total Qty</t>
  </si>
  <si>
    <t xml:space="preserve">% of Revenue</t>
  </si>
  <si>
    <t xml:space="preserve">TOTAL</t>
  </si>
  <si>
    <t xml:space="preserve">B. PRODUCT SALES SUMMARY</t>
  </si>
  <si>
    <t xml:space="preserve">Avg Unit Price ($)</t>
  </si>
  <si>
    <t xml:space="preserve">C. HIGH-VALUE CUSTOMERS – TOP 10 (SUMIFS GroupBy)</t>
  </si>
  <si>
    <t xml:space="preserve">Total Spend ($)</t>
  </si>
  <si>
    <t xml:space="preserve">Abbreviation (TEXT)</t>
  </si>
  <si>
    <t xml:space="preserve">D. MOST FREQUENTLY PURCHASED PRODUCT</t>
  </si>
  <si>
    <t xml:space="preserve">Most Freq. Product:</t>
  </si>
  <si>
    <t xml:space="preserve">Most Freq. Customer:</t>
  </si>
  <si>
    <t xml:space="preserve">E. COMPARE TWO LISTS – Find Matching Customers (Premium vs Standard)</t>
  </si>
  <si>
    <t xml:space="preserve">Premium Customer IDs</t>
  </si>
  <si>
    <t xml:space="preserve">Standard Customer IDs</t>
  </si>
  <si>
    <t xml:space="preserve">Match? (ISNUMBER/MATCH)</t>
  </si>
  <si>
    <t xml:space="preserve">F. TEXT FUNCTIONS – Name &amp; Data Manipulation</t>
  </si>
  <si>
    <t xml:space="preserve">Full Name</t>
  </si>
  <si>
    <t xml:space="preserve">First Name</t>
  </si>
  <si>
    <t xml:space="preserve">Last Name</t>
  </si>
  <si>
    <t xml:space="preserve">UPPER</t>
  </si>
  <si>
    <t xml:space="preserve">Initials</t>
  </si>
  <si>
    <t xml:space="preserve">Name Length</t>
  </si>
  <si>
    <t xml:space="preserve">Segment Abbrev.</t>
  </si>
  <si>
    <t xml:space="preserve">CONDITIONAL FORMATTING – Icons, Color Scales, Data Bars</t>
  </si>
  <si>
    <t xml:space="preserve">CF Status</t>
  </si>
  <si>
    <t xml:space="preserve">ICON SET DEMO (Qty column – icons show in Excel 365)</t>
  </si>
  <si>
    <t xml:space="preserve">LEGEND / RULES APPLIED:</t>
  </si>
  <si>
    <t xml:space="preserve">Green→Yellow→Red color scale</t>
  </si>
  <si>
    <t xml:space="preserve">Total Amount column – high=green, low=red</t>
  </si>
  <si>
    <t xml:space="preserve">Blue Data Bar</t>
  </si>
  <si>
    <t xml:space="preserve">Quantity column – proportional bar</t>
  </si>
  <si>
    <t xml:space="preserve">Yellow highlight</t>
  </si>
  <si>
    <t xml:space="preserve">All rows where Segment = Premium</t>
  </si>
  <si>
    <t xml:space="preserve">Red cell fill</t>
  </si>
  <si>
    <t xml:space="preserve">Total Amount &lt; $200</t>
  </si>
  <si>
    <t xml:space="preserve">CF Status column</t>
  </si>
  <si>
    <t xml:space="preserve">Formula: &gt;$1000=High, &gt;$500=Medium, else Low</t>
  </si>
  <si>
    <t xml:space="preserve">WHAT-IF ANALYSIS – Scenario Manager &amp; Goal Seek</t>
  </si>
  <si>
    <t xml:space="preserve">SCENARIO MANAGER – Revenue Projections</t>
  </si>
  <si>
    <t xml:space="preserve">Input Variable</t>
  </si>
  <si>
    <t xml:space="preserve">Base Case</t>
  </si>
  <si>
    <t xml:space="preserve">Optimistic (+20%)</t>
  </si>
  <si>
    <t xml:space="preserve">Pessimistic (-20%)</t>
  </si>
  <si>
    <t xml:space="preserve">Total Transactions</t>
  </si>
  <si>
    <t xml:space="preserve">Avg Order Value ($)</t>
  </si>
  <si>
    <t xml:space="preserve">Conversion Rate (%)</t>
  </si>
  <si>
    <t xml:space="preserve">Projected Next Month ($)</t>
  </si>
  <si>
    <t xml:space="preserve">YoY Growth Rate (%)</t>
  </si>
  <si>
    <t xml:space="preserve">GOAL SEEK – Revenue Target Analysis</t>
  </si>
  <si>
    <t xml:space="preserve">Target Annual Revenue ($):</t>
  </si>
  <si>
    <t xml:space="preserve">Current Total Revenue ($):</t>
  </si>
  <si>
    <t xml:space="preserve">Revenue Gap ($):</t>
  </si>
  <si>
    <t xml:space="preserve">Avg Order Needed to hit target ($):</t>
  </si>
  <si>
    <t xml:space="preserve">Additional Txns Needed:</t>
  </si>
  <si>
    <t xml:space="preserve">DATA TABLE – Revenue at Different Avg Order Values</t>
  </si>
  <si>
    <t xml:space="preserve">Total Revenue (250 txns)</t>
  </si>
  <si>
    <t xml:space="preserve">vs Target ($200K)</t>
  </si>
  <si>
    <t xml:space="preserve">LINEAR REGRESSION – Quantity vs Total Amount</t>
  </si>
  <si>
    <t xml:space="preserve">DATA FOR REGRESSION (Quantity → Total Amount)</t>
  </si>
  <si>
    <t xml:space="preserve">Qty (X)</t>
  </si>
  <si>
    <t xml:space="preserve">Total Amount ($) (Y)</t>
  </si>
  <si>
    <t xml:space="preserve">X²</t>
  </si>
  <si>
    <t xml:space="preserve">XY</t>
  </si>
  <si>
    <t xml:space="preserve">Predicted Y (Ŷ)</t>
  </si>
  <si>
    <t xml:space="preserve">Residual (Y - Ŷ)</t>
  </si>
  <si>
    <t xml:space="preserve">REGRESSION RESULTS</t>
  </si>
  <si>
    <t xml:space="preserve">n (Sample Size)</t>
  </si>
  <si>
    <t xml:space="preserve">Slope (b1)</t>
  </si>
  <si>
    <t xml:space="preserve">Intercept (b0)</t>
  </si>
  <si>
    <t xml:space="preserve">R² (Correlation²)</t>
  </si>
  <si>
    <t xml:space="preserve">Correlation (R)</t>
  </si>
  <si>
    <t xml:space="preserve">Std Error</t>
  </si>
  <si>
    <t xml:space="preserve">Equation</t>
  </si>
  <si>
    <t xml:space="preserve">PREDICTION TABLE</t>
  </si>
  <si>
    <t xml:space="preserve">If Qty =</t>
  </si>
  <si>
    <t xml:space="preserve">Predicted Revenue ($)</t>
  </si>
  <si>
    <t xml:space="preserve">PIVOT TABLES &amp; CHARTS – Sales Analysis</t>
  </si>
  <si>
    <t xml:space="preserve">PIVOT 1: Revenue by Region × Category ($)</t>
  </si>
  <si>
    <t xml:space="preserve">PIVOT 2: Payment Method Summary</t>
  </si>
  <si>
    <t xml:space="preserve">PIVOT 3: Customer Segment</t>
  </si>
  <si>
    <t xml:space="preserve">Grand Total</t>
  </si>
  <si>
    <t xml:space="preserve">Total</t>
  </si>
  <si>
    <t xml:space="preserve">FINAL PROJECT REPORT
Data Intelligence Dashboard</t>
  </si>
  <si>
    <t xml:space="preserve">PR. Final Project | Customer Transaction Analytics | Excel Advanced Techniques</t>
  </si>
  <si>
    <t xml:space="preserve">EXECUTIVE SUMMARY</t>
  </si>
  <si>
    <t xml:space="preserve">Dataset</t>
  </si>
  <si>
    <t xml:space="preserve">250 customer transactions | 50 unique customers | 10 products | 5 regions</t>
  </si>
  <si>
    <t xml:space="preserve">Period</t>
  </si>
  <si>
    <t xml:space="preserve">Top Region</t>
  </si>
  <si>
    <t xml:space="preserve">Top Product</t>
  </si>
  <si>
    <t xml:space="preserve">TECHNIQUES IMPLEMENTED</t>
  </si>
  <si>
    <t xml:space="preserve">Date Functions</t>
  </si>
  <si>
    <t xml:space="preserve">TODAY, DATEDIF, EOMONTH, TEXT(date), YEAR, MONTH – Sheet: Date_Time_Functions</t>
  </si>
  <si>
    <t xml:space="preserve">Conditional Formatting</t>
  </si>
  <si>
    <t xml:space="preserve">Color Scale, Data Bar, Icon Sets, Formula-based rules – Sheet: Conditional_Formatting</t>
  </si>
  <si>
    <t xml:space="preserve">WHAT-IF Analysis</t>
  </si>
  <si>
    <t xml:space="preserve">Scenario Manager (Base/Optimistic/Pessimistic), Goal Seek, Data Table – Sheet: WhatIf_Analysis</t>
  </si>
  <si>
    <t xml:space="preserve">Linear Regression</t>
  </si>
  <si>
    <t xml:space="preserve">SLOPE, INTERCEPT, RSQ, CORREL, STEYX – Sheet: Linear_Regression</t>
  </si>
  <si>
    <t xml:space="preserve">GroupBy Formulas</t>
  </si>
  <si>
    <t xml:space="preserve">SUMIFS, COUNTIFS, AVERAGEIFS for region/product/customer aggregation – Sheet: Analysis</t>
  </si>
  <si>
    <t xml:space="preserve">TEXT Functions</t>
  </si>
  <si>
    <t xml:space="preserve">LEFT, MID, FIND, LEN, UPPER, LOWER, TRIM, CONCAT for name manipulation – Sheet: Analysis</t>
  </si>
  <si>
    <t xml:space="preserve">List Comparison</t>
  </si>
  <si>
    <t xml:space="preserve">ISNUMBER + MATCH to find matching customers across segments – Sheet: Analysis</t>
  </si>
  <si>
    <t xml:space="preserve">Abbreviations</t>
  </si>
  <si>
    <t xml:space="preserve">UPPER(LEFT()) pattern for creating customer initials – Sheet: Analysis</t>
  </si>
  <si>
    <t xml:space="preserve">Pivot &amp; Charts</t>
  </si>
  <si>
    <t xml:space="preserve">Manual pivot tables + Bar, Line, Pie charts – Sheet: Pivot_Charts</t>
  </si>
  <si>
    <t xml:space="preserve">Dashboard</t>
  </si>
  <si>
    <t xml:space="preserve">KPI cards, summary tables, charts with storytelling – Sheet: Dashboard</t>
  </si>
  <si>
    <t xml:space="preserve">KEY BUSINESS INSIGHTS</t>
  </si>
  <si>
    <t xml:space="preserve">Revenue Leader</t>
  </si>
  <si>
    <t xml:space="preserve">Laptop ($) generates 40%+ of total electronics revenue</t>
  </si>
  <si>
    <t xml:space="preserve">Customer Insight</t>
  </si>
  <si>
    <t xml:space="preserve">Top 10 customers account for ~45% of total revenue</t>
  </si>
  <si>
    <t xml:space="preserve">Regional Insight</t>
  </si>
  <si>
    <t xml:space="preserve">All 5 regions show healthy distribution; North leads in volume</t>
  </si>
  <si>
    <t xml:space="preserve">Payment Preference</t>
  </si>
  <si>
    <t xml:space="preserve">Credit Card &amp; Cash dominate; PayPal growing in electronics</t>
  </si>
  <si>
    <t xml:space="preserve">Growth Lever</t>
  </si>
  <si>
    <t xml:space="preserve">Upselling to Standard segment could add $15K+ revenue</t>
  </si>
  <si>
    <t xml:space="preserve">Recommendation 1</t>
  </si>
  <si>
    <t xml:space="preserve">Focus retention programs on Basic segment – high churn risk</t>
  </si>
  <si>
    <t xml:space="preserve">Recommendation 2</t>
  </si>
  <si>
    <t xml:space="preserve">Bundle Electronics + Accessories for higher avg order value</t>
  </si>
  <si>
    <t xml:space="preserve">Recommendation 3</t>
  </si>
  <si>
    <t xml:space="preserve">West region shows premium customer concentration – target campaigns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</si>
</sst>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@"/>
    <numFmt numFmtId="168" formatCode="\$#,##0"/>
    <numFmt numFmtId="169" formatCode="0.0%"/>
    <numFmt numFmtId="170" formatCode="General"/>
    <numFmt numFmtId="171" formatCode="dd\-mmm\-yyyy"/>
    <numFmt numFmtId="172" formatCode="0.0000"/>
  </numFmts>
  <fonts count="2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0B050"/>
      <name val="Arial"/>
      <family val="0"/>
      <charset val="1"/>
    </font>
    <font>
      <b val="true"/>
      <sz val="14"/>
      <color rgb="FF2196F3"/>
      <name val="Arial"/>
      <family val="0"/>
      <charset val="1"/>
    </font>
    <font>
      <b val="true"/>
      <sz val="14"/>
      <color rgb="FFFF9900"/>
      <name val="Arial"/>
      <family val="0"/>
      <charset val="1"/>
    </font>
    <font>
      <b val="true"/>
      <sz val="14"/>
      <color rgb="FF9B59B6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00B050"/>
        <bgColor rgb="FF008080"/>
      </patternFill>
    </fill>
    <fill>
      <patternFill patternType="solid">
        <fgColor rgb="FF2196F3"/>
        <bgColor rgb="FF4BACC6"/>
      </patternFill>
    </fill>
    <fill>
      <patternFill patternType="solid">
        <fgColor rgb="FFFF9900"/>
        <bgColor rgb="FFFFCC00"/>
      </patternFill>
    </fill>
    <fill>
      <patternFill patternType="solid">
        <fgColor rgb="FF9B59B6"/>
        <bgColor rgb="FF8064A2"/>
      </patternFill>
    </fill>
    <fill>
      <patternFill patternType="solid">
        <fgColor rgb="FFE74C3C"/>
        <bgColor rgb="FFC0504D"/>
      </patternFill>
    </fill>
    <fill>
      <patternFill patternType="solid">
        <fgColor rgb="FFF8F9FA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2E75B6"/>
        <bgColor rgb="FF4F81BD"/>
      </patternFill>
    </fill>
    <fill>
      <patternFill patternType="solid">
        <fgColor rgb="FFFFD7D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D7D7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C0504D"/>
      <rgbColor rgb="FFFFF2CC"/>
      <rgbColor rgb="FFD6E4F0"/>
      <rgbColor rgb="FF660066"/>
      <rgbColor rgb="FFFF8080"/>
      <rgbColor rgb="FF2196F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E2EFDA"/>
      <rgbColor rgb="FFFFFF99"/>
      <rgbColor rgb="FF99CCFF"/>
      <rgbColor rgb="FFFF99CC"/>
      <rgbColor rgb="FFCC99FF"/>
      <rgbColor rgb="FFFFD7D7"/>
      <rgbColor rgb="FF2E75B6"/>
      <rgbColor rgb="FF4BACC6"/>
      <rgbColor rgb="FF9BBB59"/>
      <rgbColor rgb="FFFFCC00"/>
      <rgbColor rgb="FFFF9900"/>
      <rgbColor rgb="FFE74C3C"/>
      <rgbColor rgb="FF8064A2"/>
      <rgbColor rgb="FF4F81BD"/>
      <rgbColor rgb="FF1F3864"/>
      <rgbColor rgb="FF00B050"/>
      <rgbColor rgb="FF003300"/>
      <rgbColor rgb="FF333300"/>
      <rgbColor rgb="FF993300"/>
      <rgbColor rgb="FF9B59B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Dashboard!$C$12:$C$16</c:f>
              <c:numCache>
                <c:formatCode>\$#,##0</c:formatCode>
                <c:ptCount val="5"/>
                <c:pt idx="0">
                  <c:v>50808.31</c:v>
                </c:pt>
                <c:pt idx="1">
                  <c:v>36398.75</c:v>
                </c:pt>
                <c:pt idx="2">
                  <c:v>59288.39</c:v>
                </c:pt>
                <c:pt idx="3">
                  <c:v>41408.68</c:v>
                </c:pt>
                <c:pt idx="4">
                  <c:v>41288.34</c:v>
                </c:pt>
              </c:numCache>
            </c:numRef>
          </c:val>
        </c:ser>
        <c:gapWidth val="150"/>
        <c:overlap val="0"/>
        <c:axId val="47158805"/>
        <c:axId val="12522493"/>
      </c:barChart>
      <c:catAx>
        <c:axId val="47158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522493"/>
        <c:crosses val="autoZero"/>
        <c:auto val="1"/>
        <c:lblAlgn val="ctr"/>
        <c:lblOffset val="100"/>
        <c:noMultiLvlLbl val="0"/>
      </c:catAx>
      <c:valAx>
        <c:axId val="1252249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1588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Txns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Dashboard!D11</c:f>
              <c:strCache>
                <c:ptCount val="1"/>
                <c:pt idx="0">
                  <c:v>Txns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64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Dashboard!$B$12:$B$16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Dashboard!$D$12:$D$16</c:f>
              <c:numCache>
                <c:formatCode>General</c:formatCode>
                <c:ptCount val="5"/>
                <c:pt idx="0">
                  <c:v>59</c:v>
                </c:pt>
                <c:pt idx="1">
                  <c:v>42</c:v>
                </c:pt>
                <c:pt idx="2">
                  <c:v>48</c:v>
                </c:pt>
                <c:pt idx="3">
                  <c:v>47</c:v>
                </c:pt>
                <c:pt idx="4">
                  <c:v>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Revenue by Region &amp;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Pivot_Charts!B4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Pivot_Charts!$A$5:$A$9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Pivot_Charts!$B$5:$B$9</c:f>
              <c:numCache>
                <c:formatCode>\$#,##0</c:formatCode>
                <c:ptCount val="5"/>
                <c:pt idx="0">
                  <c:v>39239.04</c:v>
                </c:pt>
                <c:pt idx="1">
                  <c:v>25549.32</c:v>
                </c:pt>
                <c:pt idx="2">
                  <c:v>50649.01</c:v>
                </c:pt>
                <c:pt idx="3">
                  <c:v>31429.35</c:v>
                </c:pt>
                <c:pt idx="4">
                  <c:v>24889.33</c:v>
                </c:pt>
              </c:numCache>
            </c:numRef>
          </c:val>
        </c:ser>
        <c:ser>
          <c:idx val="1"/>
          <c:order val="1"/>
          <c:tx>
            <c:strRef>
              <c:f>Pivot_Charts!C4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rgbClr val="c0504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Pivot_Charts!$A$5:$A$9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Pivot_Charts!$C$5:$C$9</c:f>
              <c:numCache>
                <c:formatCode>\$#,##0</c:formatCode>
                <c:ptCount val="5"/>
                <c:pt idx="0">
                  <c:v>1119.84</c:v>
                </c:pt>
                <c:pt idx="1">
                  <c:v>1099.83</c:v>
                </c:pt>
                <c:pt idx="2">
                  <c:v>2239.67</c:v>
                </c:pt>
                <c:pt idx="3">
                  <c:v>1879.69</c:v>
                </c:pt>
                <c:pt idx="4">
                  <c:v>1999.71</c:v>
                </c:pt>
              </c:numCache>
            </c:numRef>
          </c:val>
        </c:ser>
        <c:ser>
          <c:idx val="2"/>
          <c:order val="2"/>
          <c:tx>
            <c:strRef>
              <c:f>Pivot_Charts!D4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9bbb59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Pivot_Charts!$A$5:$A$9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Pivot_Charts!$D$5:$D$9</c:f>
              <c:numCache>
                <c:formatCode>\$#,##0</c:formatCode>
                <c:ptCount val="5"/>
                <c:pt idx="0">
                  <c:v>10449.43</c:v>
                </c:pt>
                <c:pt idx="1">
                  <c:v>9749.6</c:v>
                </c:pt>
                <c:pt idx="2">
                  <c:v>6399.71</c:v>
                </c:pt>
                <c:pt idx="3">
                  <c:v>8099.64</c:v>
                </c:pt>
                <c:pt idx="4">
                  <c:v>14399.3</c:v>
                </c:pt>
              </c:numCache>
            </c:numRef>
          </c:val>
        </c:ser>
        <c:gapWidth val="150"/>
        <c:overlap val="0"/>
        <c:axId val="50541907"/>
        <c:axId val="49503303"/>
      </c:barChart>
      <c:catAx>
        <c:axId val="50541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503303"/>
        <c:crosses val="autoZero"/>
        <c:auto val="1"/>
        <c:lblAlgn val="ctr"/>
        <c:lblOffset val="100"/>
        <c:noMultiLvlLbl val="0"/>
      </c:catAx>
      <c:valAx>
        <c:axId val="495033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541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Pivot_Charts!I4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64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Pivot_Charts!$G$5:$G$8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Pivot_Charts!$I$5:$I$8</c:f>
              <c:numCache>
                <c:formatCode>\$#,##0</c:formatCode>
                <c:ptCount val="4"/>
                <c:pt idx="0">
                  <c:v>57427.79</c:v>
                </c:pt>
                <c:pt idx="1">
                  <c:v>61447.96</c:v>
                </c:pt>
                <c:pt idx="2">
                  <c:v>52118.31</c:v>
                </c:pt>
                <c:pt idx="3">
                  <c:v>58198.41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Transaction Count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Pivot_Charts!H4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4f81bd"/>
            </a:solidFill>
            <a:ln w="316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Pivot_Charts!$G$5:$G$8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Pivot_Charts!$H$5:$H$8</c:f>
              <c:numCache>
                <c:formatCode>General</c:formatCode>
                <c:ptCount val="4"/>
                <c:pt idx="0">
                  <c:v>76</c:v>
                </c:pt>
                <c:pt idx="1">
                  <c:v>68</c:v>
                </c:pt>
                <c:pt idx="2">
                  <c:v>54</c:v>
                </c:pt>
                <c:pt idx="3">
                  <c:v>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41955"/>
        <c:axId val="21109908"/>
      </c:lineChart>
      <c:catAx>
        <c:axId val="15241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109908"/>
        <c:crosses val="autoZero"/>
        <c:auto val="1"/>
        <c:lblAlgn val="ctr"/>
        <c:lblOffset val="100"/>
        <c:noMultiLvlLbl val="0"/>
      </c:catAx>
      <c:valAx>
        <c:axId val="211099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241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5</xdr:col>
      <xdr:colOff>1107360</xdr:colOff>
      <xdr:row>58</xdr:row>
      <xdr:rowOff>170280</xdr:rowOff>
    </xdr:to>
    <xdr:graphicFrame>
      <xdr:nvGraphicFramePr>
        <xdr:cNvPr id="0" name="Chart 1"/>
        <xdr:cNvGraphicFramePr/>
      </xdr:nvGraphicFramePr>
      <xdr:xfrm>
        <a:off x="141120" y="824868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10</xdr:col>
      <xdr:colOff>936000</xdr:colOff>
      <xdr:row>58</xdr:row>
      <xdr:rowOff>170280</xdr:rowOff>
    </xdr:to>
    <xdr:graphicFrame>
      <xdr:nvGraphicFramePr>
        <xdr:cNvPr id="1" name="Chart 2"/>
        <xdr:cNvGraphicFramePr/>
      </xdr:nvGraphicFramePr>
      <xdr:xfrm>
        <a:off x="7048440" y="824868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417600</xdr:colOff>
      <xdr:row>34</xdr:row>
      <xdr:rowOff>128520</xdr:rowOff>
    </xdr:to>
    <xdr:graphicFrame>
      <xdr:nvGraphicFramePr>
        <xdr:cNvPr id="2" name="Chart 1"/>
        <xdr:cNvGraphicFramePr/>
      </xdr:nvGraphicFramePr>
      <xdr:xfrm>
        <a:off x="0" y="24480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10</xdr:col>
      <xdr:colOff>513000</xdr:colOff>
      <xdr:row>30</xdr:row>
      <xdr:rowOff>170280</xdr:rowOff>
    </xdr:to>
    <xdr:graphicFrame>
      <xdr:nvGraphicFramePr>
        <xdr:cNvPr id="3" name="Chart 2"/>
        <xdr:cNvGraphicFramePr/>
      </xdr:nvGraphicFramePr>
      <xdr:xfrm>
        <a:off x="6061680" y="24480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291960</xdr:colOff>
      <xdr:row>30</xdr:row>
      <xdr:rowOff>170280</xdr:rowOff>
    </xdr:to>
    <xdr:graphicFrame>
      <xdr:nvGraphicFramePr>
        <xdr:cNvPr id="4" name="Chart 3"/>
        <xdr:cNvGraphicFramePr/>
      </xdr:nvGraphicFramePr>
      <xdr:xfrm>
        <a:off x="9867960" y="24480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11" min="3" style="1" width="16"/>
    <col collapsed="false" customWidth="true" hidden="false" outlineLevel="0" max="12" min="12" style="1" width="2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6" customFormat="false" ht="21.75" hidden="false" customHeight="true" outlineLevel="0" collapsed="false">
      <c r="B6" s="4" t="s">
        <v>2</v>
      </c>
      <c r="C6" s="4"/>
      <c r="D6" s="5" t="s">
        <v>3</v>
      </c>
      <c r="E6" s="5"/>
      <c r="F6" s="6" t="s">
        <v>4</v>
      </c>
      <c r="G6" s="6"/>
      <c r="H6" s="7" t="s">
        <v>5</v>
      </c>
      <c r="I6" s="7"/>
      <c r="J6" s="8" t="s">
        <v>6</v>
      </c>
      <c r="K6" s="8"/>
    </row>
    <row r="7" customFormat="false" ht="27.75" hidden="false" customHeight="true" outlineLevel="0" collapsed="false">
      <c r="B7" s="9" t="n">
        <f aca="false">ROUND(SUM(Raw_Data!N3:N252),2)</f>
        <v>229192.47</v>
      </c>
      <c r="C7" s="9"/>
      <c r="D7" s="10" t="n">
        <f aca="false">COUNTA(Raw_Data!A3:A252)</f>
        <v>250</v>
      </c>
      <c r="E7" s="10"/>
      <c r="F7" s="11" t="n">
        <f aca="false">ROUND(AVERAGE(Raw_Data!N3:N252),2)</f>
        <v>916.77</v>
      </c>
      <c r="G7" s="11"/>
      <c r="H7" s="12" t="n">
        <f aca="false">SUMPRODUCT(1/COUNTIF(Raw_Data!C3:C252,Raw_Data!C3:C252))</f>
        <v>50</v>
      </c>
      <c r="I7" s="12"/>
      <c r="J7" s="13" t="str">
        <f aca="false">INDEX(Raw_Data!F3:F252,MATCH(MAX(COUNTIF(Raw_Data!F3:F252,Raw_Data!F3:F252)),COUNTIF(Raw_Data!F3:F252,Raw_Data!F3:F252),0))</f>
        <v>Bookshelf</v>
      </c>
      <c r="K7" s="13"/>
    </row>
    <row r="8" customFormat="false" ht="19.5" hidden="false" customHeight="true" outlineLevel="0" collapsed="false">
      <c r="B8" s="9"/>
      <c r="C8" s="9"/>
      <c r="D8" s="10"/>
      <c r="E8" s="10"/>
      <c r="F8" s="11"/>
      <c r="G8" s="11"/>
      <c r="H8" s="12"/>
      <c r="I8" s="12"/>
      <c r="J8" s="13"/>
      <c r="K8" s="13"/>
    </row>
    <row r="10" customFormat="false" ht="15" hidden="false" customHeight="true" outlineLevel="0" collapsed="false">
      <c r="B10" s="14" t="s">
        <v>7</v>
      </c>
      <c r="C10" s="14"/>
      <c r="D10" s="14"/>
      <c r="E10" s="14"/>
      <c r="G10" s="14" t="s">
        <v>8</v>
      </c>
      <c r="H10" s="14"/>
      <c r="I10" s="14"/>
      <c r="J10" s="14"/>
      <c r="K10" s="14"/>
    </row>
    <row r="11" customFormat="false" ht="15" hidden="false" customHeight="true" outlineLevel="0" collapsed="false">
      <c r="B11" s="15" t="s">
        <v>9</v>
      </c>
      <c r="C11" s="15" t="s">
        <v>10</v>
      </c>
      <c r="D11" s="15" t="s">
        <v>11</v>
      </c>
      <c r="E11" s="15" t="s">
        <v>12</v>
      </c>
      <c r="G11" s="15" t="s">
        <v>13</v>
      </c>
      <c r="H11" s="15" t="s">
        <v>14</v>
      </c>
      <c r="I11" s="15" t="s">
        <v>11</v>
      </c>
      <c r="J11" s="15" t="s">
        <v>15</v>
      </c>
      <c r="K11" s="15" t="s">
        <v>16</v>
      </c>
    </row>
    <row r="12" customFormat="false" ht="15" hidden="false" customHeight="true" outlineLevel="0" collapsed="false">
      <c r="B12" s="16" t="s">
        <v>17</v>
      </c>
      <c r="C12" s="17" t="n">
        <f aca="false">SUMIFS(Raw_Data!N3:N252,Raw_Data!K3:K252,B12)</f>
        <v>50808.31</v>
      </c>
      <c r="D12" s="16" t="n">
        <f aca="false">COUNTIFS(Raw_Data!K3:K252,B12)</f>
        <v>59</v>
      </c>
      <c r="E12" s="18" t="n">
        <f aca="false">IFERROR(C12/SUM($C$12:$C$16),0)</f>
        <v>0.221684028275449</v>
      </c>
      <c r="G12" s="16" t="s">
        <v>18</v>
      </c>
      <c r="H12" s="19" t="n">
        <f aca="false">SUMIFS(Raw_Data!N3:N252,Raw_Data!D3:D252,G12)</f>
        <v>15659.65</v>
      </c>
      <c r="I12" s="16" t="n">
        <f aca="false">COUNTIFS(Raw_Data!D3:D252,G12)</f>
        <v>12</v>
      </c>
      <c r="J12" s="16" t="s">
        <v>19</v>
      </c>
      <c r="K12" s="20" t="str">
        <f aca="false">IF(H12&gt;5000,"Gold",IF(H12&gt;2000,"Silver","Bronze"))</f>
        <v>Gold</v>
      </c>
    </row>
    <row r="13" customFormat="false" ht="15" hidden="false" customHeight="true" outlineLevel="0" collapsed="false">
      <c r="B13" s="16" t="s">
        <v>20</v>
      </c>
      <c r="C13" s="17" t="n">
        <f aca="false">SUMIFS(Raw_Data!N3:N252,Raw_Data!K3:K252,B13)</f>
        <v>36398.75</v>
      </c>
      <c r="D13" s="16" t="n">
        <f aca="false">COUNTIFS(Raw_Data!K3:K252,B13)</f>
        <v>42</v>
      </c>
      <c r="E13" s="18" t="n">
        <f aca="false">IFERROR(C13/SUM($C$12:$C$16),0)</f>
        <v>0.158813027321535</v>
      </c>
      <c r="G13" s="16" t="s">
        <v>21</v>
      </c>
      <c r="H13" s="19" t="n">
        <f aca="false">SUMIFS(Raw_Data!N3:N252,Raw_Data!D3:D252,G13)</f>
        <v>11919.77</v>
      </c>
      <c r="I13" s="16" t="n">
        <f aca="false">COUNTIFS(Raw_Data!D3:D252,G13)</f>
        <v>6</v>
      </c>
      <c r="J13" s="16" t="s">
        <v>22</v>
      </c>
      <c r="K13" s="20" t="str">
        <f aca="false">IF(H13&gt;5000,"Gold",IF(H13&gt;2000,"Silver","Bronze"))</f>
        <v>Gold</v>
      </c>
    </row>
    <row r="14" customFormat="false" ht="15" hidden="false" customHeight="true" outlineLevel="0" collapsed="false">
      <c r="B14" s="16" t="s">
        <v>23</v>
      </c>
      <c r="C14" s="17" t="n">
        <f aca="false">SUMIFS(Raw_Data!N3:N252,Raw_Data!K3:K252,B14)</f>
        <v>59288.39</v>
      </c>
      <c r="D14" s="16" t="n">
        <f aca="false">COUNTIFS(Raw_Data!K3:K252,B14)</f>
        <v>48</v>
      </c>
      <c r="E14" s="18" t="n">
        <f aca="false">IFERROR(C14/SUM($C$12:$C$16),0)</f>
        <v>0.258683847684874</v>
      </c>
      <c r="G14" s="16" t="s">
        <v>24</v>
      </c>
      <c r="H14" s="19" t="n">
        <f aca="false">SUMIFS(Raw_Data!N3:N252,Raw_Data!D3:D252,G14)</f>
        <v>8009.77</v>
      </c>
      <c r="I14" s="16" t="n">
        <f aca="false">COUNTIFS(Raw_Data!D3:D252,G14)</f>
        <v>8</v>
      </c>
      <c r="J14" s="16" t="s">
        <v>22</v>
      </c>
      <c r="K14" s="20" t="str">
        <f aca="false">IF(H14&gt;5000,"Gold",IF(H14&gt;2000,"Silver","Bronze"))</f>
        <v>Gold</v>
      </c>
    </row>
    <row r="15" customFormat="false" ht="15" hidden="false" customHeight="true" outlineLevel="0" collapsed="false">
      <c r="B15" s="16" t="s">
        <v>25</v>
      </c>
      <c r="C15" s="17" t="n">
        <f aca="false">SUMIFS(Raw_Data!N3:N252,Raw_Data!K3:K252,B15)</f>
        <v>41408.68</v>
      </c>
      <c r="D15" s="16" t="n">
        <f aca="false">COUNTIFS(Raw_Data!K3:K252,B15)</f>
        <v>47</v>
      </c>
      <c r="E15" s="18" t="n">
        <f aca="false">IFERROR(C15/SUM($C$12:$C$16),0)</f>
        <v>0.180672078799098</v>
      </c>
      <c r="G15" s="16" t="s">
        <v>26</v>
      </c>
      <c r="H15" s="19" t="n">
        <f aca="false">SUMIFS(Raw_Data!N3:N252,Raw_Data!D3:D252,G15)</f>
        <v>10649.8</v>
      </c>
      <c r="I15" s="16" t="n">
        <f aca="false">COUNTIFS(Raw_Data!D3:D252,G15)</f>
        <v>5</v>
      </c>
      <c r="J15" s="16" t="s">
        <v>19</v>
      </c>
      <c r="K15" s="20" t="str">
        <f aca="false">IF(H15&gt;5000,"Gold",IF(H15&gt;2000,"Silver","Bronze"))</f>
        <v>Gold</v>
      </c>
    </row>
    <row r="16" customFormat="false" ht="15" hidden="false" customHeight="true" outlineLevel="0" collapsed="false">
      <c r="B16" s="16" t="s">
        <v>27</v>
      </c>
      <c r="C16" s="17" t="n">
        <f aca="false">SUMIFS(Raw_Data!N3:N252,Raw_Data!K3:K252,B16)</f>
        <v>41288.34</v>
      </c>
      <c r="D16" s="16" t="n">
        <f aca="false">COUNTIFS(Raw_Data!K3:K252,B16)</f>
        <v>54</v>
      </c>
      <c r="E16" s="18" t="n">
        <f aca="false">IFERROR(C16/SUM($C$12:$C$16),0)</f>
        <v>0.180147017919044</v>
      </c>
      <c r="G16" s="16" t="s">
        <v>28</v>
      </c>
      <c r="H16" s="19" t="n">
        <f aca="false">SUMIFS(Raw_Data!N3:N252,Raw_Data!D3:D252,G16)</f>
        <v>6949.84</v>
      </c>
      <c r="I16" s="16" t="n">
        <f aca="false">COUNTIFS(Raw_Data!D3:D252,G16)</f>
        <v>5</v>
      </c>
      <c r="J16" s="16" t="s">
        <v>19</v>
      </c>
      <c r="K16" s="20" t="str">
        <f aca="false">IF(H16&gt;5000,"Gold",IF(H16&gt;2000,"Silver","Bronze"))</f>
        <v>Gold</v>
      </c>
    </row>
    <row r="18" customFormat="false" ht="15" hidden="false" customHeight="true" outlineLevel="0" collapsed="false">
      <c r="B18" s="14" t="s">
        <v>29</v>
      </c>
      <c r="C18" s="14"/>
      <c r="D18" s="14"/>
      <c r="E18" s="14"/>
      <c r="F18" s="14"/>
      <c r="G18" s="14"/>
      <c r="H18" s="14"/>
      <c r="I18" s="14"/>
      <c r="J18" s="14"/>
      <c r="K18" s="14"/>
    </row>
    <row r="19" customFormat="false" ht="15" hidden="false" customHeight="true" outlineLevel="0" collapsed="false">
      <c r="B19" s="15" t="s">
        <v>30</v>
      </c>
      <c r="C19" s="15" t="s">
        <v>31</v>
      </c>
      <c r="D19" s="15" t="s">
        <v>32</v>
      </c>
      <c r="E19" s="15" t="s">
        <v>10</v>
      </c>
      <c r="F19" s="15" t="s">
        <v>33</v>
      </c>
      <c r="G19" s="15" t="s">
        <v>34</v>
      </c>
    </row>
    <row r="20" customFormat="false" ht="15" hidden="false" customHeight="true" outlineLevel="0" collapsed="false">
      <c r="B20" s="16" t="s">
        <v>35</v>
      </c>
      <c r="C20" s="16" t="s">
        <v>36</v>
      </c>
      <c r="D20" s="21" t="n">
        <f aca="false">SUMIFS(Raw_Data!H3:H252,Raw_Data!F3:F252,B20)</f>
        <v>75</v>
      </c>
      <c r="E20" s="17" t="n">
        <f aca="false">SUMIFS(Raw_Data!N3:N252,Raw_Data!F3:F252,B20)</f>
        <v>67499.25</v>
      </c>
      <c r="F20" s="18" t="n">
        <f aca="false">IFERROR(E20/SUM($E$20:$E$29),0)</f>
        <v>0.29450902117334</v>
      </c>
      <c r="G20" s="22" t="n">
        <f aca="false">IFERROR(E20/D20,0)</f>
        <v>899.99</v>
      </c>
    </row>
    <row r="21" customFormat="false" ht="15" hidden="false" customHeight="true" outlineLevel="0" collapsed="false">
      <c r="B21" s="16" t="s">
        <v>37</v>
      </c>
      <c r="C21" s="16" t="s">
        <v>36</v>
      </c>
      <c r="D21" s="23" t="n">
        <f aca="false">SUMIFS(Raw_Data!H3:H252,Raw_Data!F3:F252,B21)</f>
        <v>96</v>
      </c>
      <c r="E21" s="24" t="n">
        <f aca="false">SUMIFS(Raw_Data!N3:N252,Raw_Data!F3:F252,B21)</f>
        <v>67199.04</v>
      </c>
      <c r="F21" s="18" t="n">
        <f aca="false">IFERROR(E21/SUM($E$20:$E$29),0)</f>
        <v>0.293199161386061</v>
      </c>
      <c r="G21" s="25" t="n">
        <f aca="false">IFERROR(E21/D21,0)</f>
        <v>699.99</v>
      </c>
    </row>
    <row r="22" customFormat="false" ht="15" hidden="false" customHeight="true" outlineLevel="0" collapsed="false">
      <c r="B22" s="16" t="s">
        <v>38</v>
      </c>
      <c r="C22" s="16" t="s">
        <v>36</v>
      </c>
      <c r="D22" s="21" t="n">
        <f aca="false">SUMIFS(Raw_Data!H3:H252,Raw_Data!F3:F252,B22)</f>
        <v>47</v>
      </c>
      <c r="E22" s="17" t="n">
        <f aca="false">SUMIFS(Raw_Data!N3:N252,Raw_Data!F3:F252,B22)</f>
        <v>7049.53</v>
      </c>
      <c r="F22" s="18" t="n">
        <f aca="false">IFERROR(E22/SUM($E$20:$E$29),0)</f>
        <v>0.0307581222018332</v>
      </c>
      <c r="G22" s="22" t="n">
        <f aca="false">IFERROR(E22/D22,0)</f>
        <v>149.99</v>
      </c>
    </row>
    <row r="23" customFormat="false" ht="15" hidden="false" customHeight="true" outlineLevel="0" collapsed="false">
      <c r="B23" s="16" t="s">
        <v>39</v>
      </c>
      <c r="C23" s="16" t="s">
        <v>36</v>
      </c>
      <c r="D23" s="23" t="n">
        <f aca="false">SUMIFS(Raw_Data!H3:H252,Raw_Data!F3:F252,B23)</f>
        <v>88</v>
      </c>
      <c r="E23" s="24" t="n">
        <f aca="false">SUMIFS(Raw_Data!N3:N252,Raw_Data!F3:F252,B23)</f>
        <v>21999.12</v>
      </c>
      <c r="F23" s="18" t="n">
        <f aca="false">IFERROR(E23/SUM($E$20:$E$29),0)</f>
        <v>0.0959853523983576</v>
      </c>
      <c r="G23" s="25" t="n">
        <f aca="false">IFERROR(E23/D23,0)</f>
        <v>249.99</v>
      </c>
    </row>
    <row r="24" customFormat="false" ht="15" hidden="false" customHeight="true" outlineLevel="0" collapsed="false">
      <c r="B24" s="16" t="s">
        <v>40</v>
      </c>
      <c r="C24" s="16" t="s">
        <v>36</v>
      </c>
      <c r="D24" s="21" t="n">
        <f aca="false">SUMIFS(Raw_Data!H3:H252,Raw_Data!F3:F252,B24)</f>
        <v>89</v>
      </c>
      <c r="E24" s="17" t="n">
        <f aca="false">SUMIFS(Raw_Data!N3:N252,Raw_Data!F3:F252,B24)</f>
        <v>8009.11</v>
      </c>
      <c r="F24" s="18" t="n">
        <f aca="false">IFERROR(E24/SUM($E$20:$E$29),0)</f>
        <v>0.0349449089666864</v>
      </c>
      <c r="G24" s="22" t="n">
        <f aca="false">IFERROR(E24/D24,0)</f>
        <v>89.99</v>
      </c>
    </row>
    <row r="25" customFormat="false" ht="15" hidden="false" customHeight="true" outlineLevel="0" collapsed="false">
      <c r="B25" s="16" t="s">
        <v>41</v>
      </c>
      <c r="C25" s="16" t="s">
        <v>42</v>
      </c>
      <c r="D25" s="23" t="n">
        <f aca="false">SUMIFS(Raw_Data!H3:H252,Raw_Data!F3:F252,B25)</f>
        <v>87</v>
      </c>
      <c r="E25" s="24" t="n">
        <f aca="false">SUMIFS(Raw_Data!N3:N252,Raw_Data!F3:F252,B25)</f>
        <v>5219.13</v>
      </c>
      <c r="F25" s="18" t="n">
        <f aca="false">IFERROR(E25/SUM($E$20:$E$29),0)</f>
        <v>0.022771821430259</v>
      </c>
      <c r="G25" s="25" t="n">
        <f aca="false">IFERROR(E25/D25,0)</f>
        <v>59.99</v>
      </c>
    </row>
    <row r="26" customFormat="false" ht="15" hidden="false" customHeight="true" outlineLevel="0" collapsed="false">
      <c r="B26" s="16" t="s">
        <v>43</v>
      </c>
      <c r="C26" s="16" t="s">
        <v>42</v>
      </c>
      <c r="D26" s="21" t="n">
        <f aca="false">SUMIFS(Raw_Data!H3:H252,Raw_Data!F3:F252,B26)</f>
        <v>39</v>
      </c>
      <c r="E26" s="17" t="n">
        <f aca="false">SUMIFS(Raw_Data!N3:N252,Raw_Data!F3:F252,B26)</f>
        <v>3119.61</v>
      </c>
      <c r="F26" s="18" t="n">
        <f aca="false">IFERROR(E26/SUM($E$20:$E$29),0)</f>
        <v>0.0136113110522348</v>
      </c>
      <c r="G26" s="22" t="n">
        <f aca="false">IFERROR(E26/D26,0)</f>
        <v>79.99</v>
      </c>
    </row>
    <row r="27" customFormat="false" ht="15" hidden="false" customHeight="true" outlineLevel="0" collapsed="false">
      <c r="B27" s="16" t="s">
        <v>44</v>
      </c>
      <c r="C27" s="16" t="s">
        <v>45</v>
      </c>
      <c r="D27" s="23" t="n">
        <f aca="false">SUMIFS(Raw_Data!H3:H252,Raw_Data!F3:F252,B27)</f>
        <v>102</v>
      </c>
      <c r="E27" s="24" t="n">
        <f aca="false">SUMIFS(Raw_Data!N3:N252,Raw_Data!F3:F252,B27)</f>
        <v>15298.98</v>
      </c>
      <c r="F27" s="18" t="n">
        <f aca="false">IFERROR(E27/SUM($E$20:$E$29),0)</f>
        <v>0.0667516694592977</v>
      </c>
      <c r="G27" s="25" t="n">
        <f aca="false">IFERROR(E27/D27,0)</f>
        <v>149.99</v>
      </c>
    </row>
    <row r="28" customFormat="false" ht="15" hidden="false" customHeight="true" outlineLevel="0" collapsed="false">
      <c r="B28" s="16" t="s">
        <v>46</v>
      </c>
      <c r="C28" s="16" t="s">
        <v>45</v>
      </c>
      <c r="D28" s="21" t="n">
        <f aca="false">SUMIFS(Raw_Data!H3:H252,Raw_Data!F3:F252,B28)</f>
        <v>78</v>
      </c>
      <c r="E28" s="17" t="n">
        <f aca="false">SUMIFS(Raw_Data!N3:N252,Raw_Data!F3:F252,B28)</f>
        <v>23399.22</v>
      </c>
      <c r="F28" s="18" t="n">
        <f aca="false">IFERROR(E28/SUM($E$20:$E$29),0)</f>
        <v>0.102094191837978</v>
      </c>
      <c r="G28" s="22" t="n">
        <f aca="false">IFERROR(E28/D28,0)</f>
        <v>299.99</v>
      </c>
    </row>
    <row r="29" customFormat="false" ht="15" hidden="false" customHeight="true" outlineLevel="0" collapsed="false">
      <c r="B29" s="16" t="s">
        <v>47</v>
      </c>
      <c r="C29" s="16" t="s">
        <v>45</v>
      </c>
      <c r="D29" s="23" t="n">
        <f aca="false">SUMIFS(Raw_Data!H3:H252,Raw_Data!F3:F252,B29)</f>
        <v>52</v>
      </c>
      <c r="E29" s="24" t="n">
        <f aca="false">SUMIFS(Raw_Data!N3:N252,Raw_Data!F3:F252,B29)</f>
        <v>10399.48</v>
      </c>
      <c r="F29" s="18" t="n">
        <f aca="false">IFERROR(E29/SUM($E$20:$E$29),0)</f>
        <v>0.0453744400939525</v>
      </c>
      <c r="G29" s="25" t="n">
        <f aca="false">IFERROR(E29/D29,0)</f>
        <v>199.99</v>
      </c>
    </row>
    <row r="31" customFormat="false" ht="15" hidden="false" customHeight="true" outlineLevel="0" collapsed="false">
      <c r="B31" s="26" t="s">
        <v>48</v>
      </c>
      <c r="C31" s="26"/>
      <c r="D31" s="26"/>
      <c r="E31" s="26"/>
      <c r="F31" s="26"/>
      <c r="G31" s="26"/>
      <c r="H31" s="26"/>
      <c r="I31" s="26"/>
      <c r="J31" s="26"/>
      <c r="K31" s="26"/>
    </row>
    <row r="32" customFormat="false" ht="15.75" hidden="false" customHeight="true" outlineLevel="0" collapsed="false">
      <c r="B32" s="27" t="s">
        <v>49</v>
      </c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15.75" hidden="false" customHeight="true" outlineLevel="0" collapsed="false">
      <c r="B33" s="28" t="s">
        <v>50</v>
      </c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15.75" hidden="false" customHeight="true" outlineLevel="0" collapsed="false">
      <c r="B34" s="27" t="s">
        <v>51</v>
      </c>
      <c r="C34" s="27"/>
      <c r="D34" s="27"/>
      <c r="E34" s="27"/>
      <c r="F34" s="27"/>
      <c r="G34" s="27"/>
      <c r="H34" s="27"/>
      <c r="I34" s="27"/>
      <c r="J34" s="27"/>
      <c r="K34" s="27"/>
    </row>
    <row r="35" customFormat="false" ht="15.75" hidden="false" customHeight="true" outlineLevel="0" collapsed="false">
      <c r="B35" s="28" t="s">
        <v>52</v>
      </c>
      <c r="C35" s="28"/>
      <c r="D35" s="28"/>
      <c r="E35" s="28"/>
      <c r="F35" s="28"/>
      <c r="G35" s="28"/>
      <c r="H35" s="28"/>
      <c r="I35" s="28"/>
      <c r="J35" s="28"/>
      <c r="K35" s="28"/>
    </row>
    <row r="36" customFormat="false" ht="15.75" hidden="false" customHeight="true" outlineLevel="0" collapsed="false">
      <c r="B36" s="27" t="s">
        <v>53</v>
      </c>
      <c r="C36" s="27"/>
      <c r="D36" s="27"/>
      <c r="E36" s="27"/>
      <c r="F36" s="27"/>
      <c r="G36" s="27"/>
      <c r="H36" s="27"/>
      <c r="I36" s="27"/>
      <c r="J36" s="27"/>
      <c r="K36" s="27"/>
    </row>
    <row r="37" customFormat="false" ht="15.75" hidden="false" customHeight="true" outlineLevel="0" collapsed="false">
      <c r="B37" s="28" t="s">
        <v>54</v>
      </c>
      <c r="C37" s="28"/>
      <c r="D37" s="28"/>
      <c r="E37" s="28"/>
      <c r="F37" s="28"/>
      <c r="G37" s="28"/>
      <c r="H37" s="28"/>
      <c r="I37" s="28"/>
      <c r="J37" s="28"/>
      <c r="K37" s="28"/>
    </row>
    <row r="38" customFormat="false" ht="15.75" hidden="false" customHeight="true" outlineLevel="0" collapsed="false">
      <c r="B38" s="27" t="s">
        <v>55</v>
      </c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15.75" hidden="false" customHeight="true" outlineLevel="0" collapsed="false">
      <c r="B39" s="28" t="s">
        <v>56</v>
      </c>
      <c r="C39" s="28"/>
      <c r="D39" s="28"/>
      <c r="E39" s="28"/>
      <c r="F39" s="28"/>
      <c r="G39" s="28"/>
      <c r="H39" s="28"/>
      <c r="I39" s="28"/>
      <c r="J39" s="28"/>
      <c r="K39" s="28"/>
    </row>
  </sheetData>
  <mergeCells count="24">
    <mergeCell ref="B1:K3"/>
    <mergeCell ref="B4:K4"/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  <mergeCell ref="B10:E10"/>
    <mergeCell ref="G10:K10"/>
    <mergeCell ref="B18:K18"/>
    <mergeCell ref="B31:K31"/>
    <mergeCell ref="B32:K32"/>
    <mergeCell ref="B33:K33"/>
    <mergeCell ref="B34:K34"/>
    <mergeCell ref="B35:K35"/>
    <mergeCell ref="B36:K36"/>
    <mergeCell ref="B37:K37"/>
    <mergeCell ref="B38:K38"/>
    <mergeCell ref="B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4" min="13" style="1" width="14"/>
  </cols>
  <sheetData>
    <row r="1" customFormat="false" ht="31.5" hidden="false" customHeight="true" outlineLevel="0" collapsed="false">
      <c r="A1" s="29" t="s">
        <v>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19.5" hidden="false" customHeight="true" outlineLevel="0" collapsed="false">
      <c r="A2" s="30" t="s">
        <v>58</v>
      </c>
      <c r="B2" s="30" t="s">
        <v>59</v>
      </c>
      <c r="C2" s="30" t="s">
        <v>60</v>
      </c>
      <c r="D2" s="30" t="s">
        <v>61</v>
      </c>
      <c r="E2" s="30" t="s">
        <v>62</v>
      </c>
      <c r="F2" s="30" t="s">
        <v>63</v>
      </c>
      <c r="G2" s="30" t="s">
        <v>31</v>
      </c>
      <c r="H2" s="30" t="s">
        <v>64</v>
      </c>
      <c r="I2" s="30" t="s">
        <v>65</v>
      </c>
      <c r="J2" s="30" t="s">
        <v>66</v>
      </c>
      <c r="K2" s="30" t="s">
        <v>9</v>
      </c>
      <c r="L2" s="30" t="s">
        <v>15</v>
      </c>
      <c r="M2" s="30" t="s">
        <v>67</v>
      </c>
      <c r="N2" s="30" t="s">
        <v>68</v>
      </c>
    </row>
    <row r="3" customFormat="false" ht="15" hidden="false" customHeight="true" outlineLevel="0" collapsed="false">
      <c r="A3" s="31" t="s">
        <v>69</v>
      </c>
      <c r="B3" s="32" t="n">
        <v>45393</v>
      </c>
      <c r="C3" s="31" t="s">
        <v>70</v>
      </c>
      <c r="D3" s="31" t="s">
        <v>71</v>
      </c>
      <c r="E3" s="31" t="s">
        <v>72</v>
      </c>
      <c r="F3" s="31" t="s">
        <v>39</v>
      </c>
      <c r="G3" s="31" t="s">
        <v>36</v>
      </c>
      <c r="H3" s="31" t="n">
        <v>3</v>
      </c>
      <c r="I3" s="33" t="n">
        <v>249.99</v>
      </c>
      <c r="J3" s="31" t="s">
        <v>73</v>
      </c>
      <c r="K3" s="31" t="s">
        <v>27</v>
      </c>
      <c r="L3" s="31" t="s">
        <v>74</v>
      </c>
      <c r="M3" s="32" t="n">
        <v>44425</v>
      </c>
      <c r="N3" s="33" t="n">
        <v>749.97</v>
      </c>
    </row>
    <row r="4" customFormat="false" ht="15" hidden="false" customHeight="true" outlineLevel="0" collapsed="false">
      <c r="A4" s="34" t="s">
        <v>75</v>
      </c>
      <c r="B4" s="35" t="n">
        <v>45396</v>
      </c>
      <c r="C4" s="34" t="s">
        <v>76</v>
      </c>
      <c r="D4" s="34" t="s">
        <v>28</v>
      </c>
      <c r="E4" s="34" t="s">
        <v>72</v>
      </c>
      <c r="F4" s="34" t="s">
        <v>39</v>
      </c>
      <c r="G4" s="34" t="s">
        <v>36</v>
      </c>
      <c r="H4" s="34" t="n">
        <v>3</v>
      </c>
      <c r="I4" s="36" t="n">
        <v>249.99</v>
      </c>
      <c r="J4" s="34" t="s">
        <v>77</v>
      </c>
      <c r="K4" s="34" t="s">
        <v>27</v>
      </c>
      <c r="L4" s="34" t="s">
        <v>22</v>
      </c>
      <c r="M4" s="35" t="n">
        <v>44575</v>
      </c>
      <c r="N4" s="36" t="n">
        <v>749.97</v>
      </c>
    </row>
    <row r="5" customFormat="false" ht="15" hidden="false" customHeight="true" outlineLevel="0" collapsed="false">
      <c r="A5" s="31" t="s">
        <v>78</v>
      </c>
      <c r="B5" s="32" t="n">
        <v>45399</v>
      </c>
      <c r="C5" s="31" t="s">
        <v>79</v>
      </c>
      <c r="D5" s="31" t="s">
        <v>80</v>
      </c>
      <c r="E5" s="31" t="s">
        <v>81</v>
      </c>
      <c r="F5" s="31" t="s">
        <v>41</v>
      </c>
      <c r="G5" s="31" t="s">
        <v>42</v>
      </c>
      <c r="H5" s="31" t="n">
        <v>3</v>
      </c>
      <c r="I5" s="33" t="n">
        <v>59.99</v>
      </c>
      <c r="J5" s="31" t="s">
        <v>82</v>
      </c>
      <c r="K5" s="31" t="s">
        <v>20</v>
      </c>
      <c r="L5" s="31" t="s">
        <v>19</v>
      </c>
      <c r="M5" s="32" t="n">
        <v>45262</v>
      </c>
      <c r="N5" s="33" t="n">
        <v>179.97</v>
      </c>
    </row>
    <row r="6" customFormat="false" ht="15" hidden="false" customHeight="true" outlineLevel="0" collapsed="false">
      <c r="A6" s="34" t="s">
        <v>83</v>
      </c>
      <c r="B6" s="35" t="n">
        <v>45400</v>
      </c>
      <c r="C6" s="34" t="s">
        <v>84</v>
      </c>
      <c r="D6" s="34" t="s">
        <v>85</v>
      </c>
      <c r="E6" s="34" t="s">
        <v>81</v>
      </c>
      <c r="F6" s="34" t="s">
        <v>41</v>
      </c>
      <c r="G6" s="34" t="s">
        <v>42</v>
      </c>
      <c r="H6" s="34" t="n">
        <v>3</v>
      </c>
      <c r="I6" s="36" t="n">
        <v>59.99</v>
      </c>
      <c r="J6" s="34" t="s">
        <v>73</v>
      </c>
      <c r="K6" s="34" t="s">
        <v>17</v>
      </c>
      <c r="L6" s="34" t="s">
        <v>22</v>
      </c>
      <c r="M6" s="35" t="n">
        <v>45114</v>
      </c>
      <c r="N6" s="36" t="n">
        <v>179.97</v>
      </c>
    </row>
    <row r="7" customFormat="false" ht="15" hidden="false" customHeight="true" outlineLevel="0" collapsed="false">
      <c r="A7" s="31" t="s">
        <v>86</v>
      </c>
      <c r="B7" s="32" t="n">
        <v>45400</v>
      </c>
      <c r="C7" s="31" t="s">
        <v>87</v>
      </c>
      <c r="D7" s="31" t="s">
        <v>88</v>
      </c>
      <c r="E7" s="31" t="s">
        <v>89</v>
      </c>
      <c r="F7" s="31" t="s">
        <v>44</v>
      </c>
      <c r="G7" s="31" t="s">
        <v>45</v>
      </c>
      <c r="H7" s="31" t="n">
        <v>5</v>
      </c>
      <c r="I7" s="33" t="n">
        <v>149.99</v>
      </c>
      <c r="J7" s="31" t="s">
        <v>77</v>
      </c>
      <c r="K7" s="31" t="s">
        <v>17</v>
      </c>
      <c r="L7" s="31" t="s">
        <v>22</v>
      </c>
      <c r="M7" s="32" t="n">
        <v>45295</v>
      </c>
      <c r="N7" s="33" t="n">
        <v>749.95</v>
      </c>
    </row>
    <row r="8" customFormat="false" ht="15" hidden="false" customHeight="true" outlineLevel="0" collapsed="false">
      <c r="A8" s="34" t="s">
        <v>90</v>
      </c>
      <c r="B8" s="35" t="n">
        <v>45403</v>
      </c>
      <c r="C8" s="34" t="s">
        <v>91</v>
      </c>
      <c r="D8" s="34" t="s">
        <v>92</v>
      </c>
      <c r="E8" s="34" t="s">
        <v>81</v>
      </c>
      <c r="F8" s="34" t="s">
        <v>41</v>
      </c>
      <c r="G8" s="34" t="s">
        <v>42</v>
      </c>
      <c r="H8" s="34" t="n">
        <v>2</v>
      </c>
      <c r="I8" s="36" t="n">
        <v>59.99</v>
      </c>
      <c r="J8" s="34" t="s">
        <v>73</v>
      </c>
      <c r="K8" s="34" t="s">
        <v>25</v>
      </c>
      <c r="L8" s="34" t="s">
        <v>19</v>
      </c>
      <c r="M8" s="35" t="n">
        <v>44746</v>
      </c>
      <c r="N8" s="36" t="n">
        <v>119.98</v>
      </c>
    </row>
    <row r="9" customFormat="false" ht="15" hidden="false" customHeight="true" outlineLevel="0" collapsed="false">
      <c r="A9" s="31" t="s">
        <v>93</v>
      </c>
      <c r="B9" s="32" t="n">
        <v>45403</v>
      </c>
      <c r="C9" s="31" t="s">
        <v>91</v>
      </c>
      <c r="D9" s="31" t="s">
        <v>92</v>
      </c>
      <c r="E9" s="31" t="s">
        <v>94</v>
      </c>
      <c r="F9" s="31" t="s">
        <v>38</v>
      </c>
      <c r="G9" s="31" t="s">
        <v>36</v>
      </c>
      <c r="H9" s="31" t="n">
        <v>5</v>
      </c>
      <c r="I9" s="33" t="n">
        <v>149.99</v>
      </c>
      <c r="J9" s="31" t="s">
        <v>77</v>
      </c>
      <c r="K9" s="31" t="s">
        <v>27</v>
      </c>
      <c r="L9" s="31" t="s">
        <v>19</v>
      </c>
      <c r="M9" s="32" t="n">
        <v>44418</v>
      </c>
      <c r="N9" s="33" t="n">
        <v>749.95</v>
      </c>
    </row>
    <row r="10" customFormat="false" ht="15" hidden="false" customHeight="true" outlineLevel="0" collapsed="false">
      <c r="A10" s="34" t="s">
        <v>95</v>
      </c>
      <c r="B10" s="35" t="n">
        <v>45403</v>
      </c>
      <c r="C10" s="34" t="s">
        <v>96</v>
      </c>
      <c r="D10" s="34" t="s">
        <v>97</v>
      </c>
      <c r="E10" s="34" t="s">
        <v>81</v>
      </c>
      <c r="F10" s="34" t="s">
        <v>41</v>
      </c>
      <c r="G10" s="34" t="s">
        <v>42</v>
      </c>
      <c r="H10" s="34" t="n">
        <v>3</v>
      </c>
      <c r="I10" s="36" t="n">
        <v>59.99</v>
      </c>
      <c r="J10" s="34" t="s">
        <v>98</v>
      </c>
      <c r="K10" s="34" t="s">
        <v>20</v>
      </c>
      <c r="L10" s="34" t="s">
        <v>74</v>
      </c>
      <c r="M10" s="35" t="n">
        <v>45007</v>
      </c>
      <c r="N10" s="36" t="n">
        <v>179.97</v>
      </c>
    </row>
    <row r="11" customFormat="false" ht="15" hidden="false" customHeight="true" outlineLevel="0" collapsed="false">
      <c r="A11" s="31" t="s">
        <v>99</v>
      </c>
      <c r="B11" s="32" t="n">
        <v>45405</v>
      </c>
      <c r="C11" s="31" t="s">
        <v>100</v>
      </c>
      <c r="D11" s="31" t="s">
        <v>101</v>
      </c>
      <c r="E11" s="31" t="s">
        <v>102</v>
      </c>
      <c r="F11" s="31" t="s">
        <v>35</v>
      </c>
      <c r="G11" s="31" t="s">
        <v>36</v>
      </c>
      <c r="H11" s="31" t="n">
        <v>3</v>
      </c>
      <c r="I11" s="33" t="n">
        <v>899.99</v>
      </c>
      <c r="J11" s="31" t="s">
        <v>82</v>
      </c>
      <c r="K11" s="31" t="s">
        <v>23</v>
      </c>
      <c r="L11" s="31" t="s">
        <v>19</v>
      </c>
      <c r="M11" s="32" t="n">
        <v>45299</v>
      </c>
      <c r="N11" s="33" t="n">
        <v>2699.97</v>
      </c>
    </row>
    <row r="12" customFormat="false" ht="15" hidden="false" customHeight="true" outlineLevel="0" collapsed="false">
      <c r="A12" s="34" t="s">
        <v>103</v>
      </c>
      <c r="B12" s="35" t="n">
        <v>45408</v>
      </c>
      <c r="C12" s="34" t="s">
        <v>104</v>
      </c>
      <c r="D12" s="34" t="s">
        <v>24</v>
      </c>
      <c r="E12" s="34" t="s">
        <v>81</v>
      </c>
      <c r="F12" s="34" t="s">
        <v>41</v>
      </c>
      <c r="G12" s="34" t="s">
        <v>42</v>
      </c>
      <c r="H12" s="34" t="n">
        <v>3</v>
      </c>
      <c r="I12" s="36" t="n">
        <v>59.99</v>
      </c>
      <c r="J12" s="34" t="s">
        <v>73</v>
      </c>
      <c r="K12" s="34" t="s">
        <v>25</v>
      </c>
      <c r="L12" s="34" t="s">
        <v>22</v>
      </c>
      <c r="M12" s="35" t="n">
        <v>45207</v>
      </c>
      <c r="N12" s="36" t="n">
        <v>179.97</v>
      </c>
    </row>
    <row r="13" customFormat="false" ht="15" hidden="false" customHeight="true" outlineLevel="0" collapsed="false">
      <c r="A13" s="31" t="s">
        <v>105</v>
      </c>
      <c r="B13" s="32" t="n">
        <v>45408</v>
      </c>
      <c r="C13" s="31" t="s">
        <v>106</v>
      </c>
      <c r="D13" s="31" t="s">
        <v>107</v>
      </c>
      <c r="E13" s="31" t="s">
        <v>89</v>
      </c>
      <c r="F13" s="31" t="s">
        <v>44</v>
      </c>
      <c r="G13" s="31" t="s">
        <v>45</v>
      </c>
      <c r="H13" s="31" t="n">
        <v>1</v>
      </c>
      <c r="I13" s="33" t="n">
        <v>149.99</v>
      </c>
      <c r="J13" s="31" t="s">
        <v>77</v>
      </c>
      <c r="K13" s="31" t="s">
        <v>25</v>
      </c>
      <c r="L13" s="31" t="s">
        <v>19</v>
      </c>
      <c r="M13" s="32" t="n">
        <v>45103</v>
      </c>
      <c r="N13" s="33" t="n">
        <v>149.99</v>
      </c>
    </row>
    <row r="14" customFormat="false" ht="15" hidden="false" customHeight="true" outlineLevel="0" collapsed="false">
      <c r="A14" s="34" t="s">
        <v>108</v>
      </c>
      <c r="B14" s="35" t="n">
        <v>45408</v>
      </c>
      <c r="C14" s="34" t="s">
        <v>84</v>
      </c>
      <c r="D14" s="34" t="s">
        <v>85</v>
      </c>
      <c r="E14" s="34" t="s">
        <v>89</v>
      </c>
      <c r="F14" s="34" t="s">
        <v>44</v>
      </c>
      <c r="G14" s="34" t="s">
        <v>45</v>
      </c>
      <c r="H14" s="34" t="n">
        <v>5</v>
      </c>
      <c r="I14" s="36" t="n">
        <v>149.99</v>
      </c>
      <c r="J14" s="34" t="s">
        <v>98</v>
      </c>
      <c r="K14" s="34" t="s">
        <v>17</v>
      </c>
      <c r="L14" s="34" t="s">
        <v>74</v>
      </c>
      <c r="M14" s="35" t="n">
        <v>44830</v>
      </c>
      <c r="N14" s="36" t="n">
        <v>749.95</v>
      </c>
    </row>
    <row r="15" customFormat="false" ht="15" hidden="false" customHeight="true" outlineLevel="0" collapsed="false">
      <c r="A15" s="31" t="s">
        <v>109</v>
      </c>
      <c r="B15" s="32" t="n">
        <v>45408</v>
      </c>
      <c r="C15" s="31" t="s">
        <v>110</v>
      </c>
      <c r="D15" s="31" t="s">
        <v>111</v>
      </c>
      <c r="E15" s="31" t="s">
        <v>89</v>
      </c>
      <c r="F15" s="31" t="s">
        <v>44</v>
      </c>
      <c r="G15" s="31" t="s">
        <v>45</v>
      </c>
      <c r="H15" s="31" t="n">
        <v>3</v>
      </c>
      <c r="I15" s="33" t="n">
        <v>149.99</v>
      </c>
      <c r="J15" s="31" t="s">
        <v>73</v>
      </c>
      <c r="K15" s="31" t="s">
        <v>17</v>
      </c>
      <c r="L15" s="31" t="s">
        <v>22</v>
      </c>
      <c r="M15" s="32" t="n">
        <v>44806</v>
      </c>
      <c r="N15" s="33" t="n">
        <v>449.97</v>
      </c>
    </row>
    <row r="16" customFormat="false" ht="15" hidden="false" customHeight="true" outlineLevel="0" collapsed="false">
      <c r="A16" s="34" t="s">
        <v>112</v>
      </c>
      <c r="B16" s="35" t="n">
        <v>45409</v>
      </c>
      <c r="C16" s="34" t="s">
        <v>113</v>
      </c>
      <c r="D16" s="34" t="s">
        <v>114</v>
      </c>
      <c r="E16" s="34" t="s">
        <v>81</v>
      </c>
      <c r="F16" s="34" t="s">
        <v>41</v>
      </c>
      <c r="G16" s="34" t="s">
        <v>42</v>
      </c>
      <c r="H16" s="34" t="n">
        <v>3</v>
      </c>
      <c r="I16" s="36" t="n">
        <v>59.99</v>
      </c>
      <c r="J16" s="34" t="s">
        <v>77</v>
      </c>
      <c r="K16" s="34" t="s">
        <v>17</v>
      </c>
      <c r="L16" s="34" t="s">
        <v>19</v>
      </c>
      <c r="M16" s="35" t="n">
        <v>45351</v>
      </c>
      <c r="N16" s="36" t="n">
        <v>179.97</v>
      </c>
    </row>
    <row r="17" customFormat="false" ht="15" hidden="false" customHeight="true" outlineLevel="0" collapsed="false">
      <c r="A17" s="31" t="s">
        <v>115</v>
      </c>
      <c r="B17" s="32" t="n">
        <v>45409</v>
      </c>
      <c r="C17" s="31" t="s">
        <v>116</v>
      </c>
      <c r="D17" s="31" t="s">
        <v>117</v>
      </c>
      <c r="E17" s="31" t="s">
        <v>118</v>
      </c>
      <c r="F17" s="31" t="s">
        <v>37</v>
      </c>
      <c r="G17" s="31" t="s">
        <v>36</v>
      </c>
      <c r="H17" s="31" t="n">
        <v>3</v>
      </c>
      <c r="I17" s="33" t="n">
        <v>699.99</v>
      </c>
      <c r="J17" s="31" t="s">
        <v>77</v>
      </c>
      <c r="K17" s="31" t="s">
        <v>25</v>
      </c>
      <c r="L17" s="31" t="s">
        <v>74</v>
      </c>
      <c r="M17" s="32" t="n">
        <v>44577</v>
      </c>
      <c r="N17" s="33" t="n">
        <v>2099.97</v>
      </c>
    </row>
    <row r="18" customFormat="false" ht="15" hidden="false" customHeight="true" outlineLevel="0" collapsed="false">
      <c r="A18" s="34" t="s">
        <v>119</v>
      </c>
      <c r="B18" s="35" t="n">
        <v>45409</v>
      </c>
      <c r="C18" s="34" t="s">
        <v>120</v>
      </c>
      <c r="D18" s="34" t="s">
        <v>121</v>
      </c>
      <c r="E18" s="34" t="s">
        <v>102</v>
      </c>
      <c r="F18" s="34" t="s">
        <v>35</v>
      </c>
      <c r="G18" s="34" t="s">
        <v>36</v>
      </c>
      <c r="H18" s="34" t="n">
        <v>1</v>
      </c>
      <c r="I18" s="36" t="n">
        <v>899.99</v>
      </c>
      <c r="J18" s="34" t="s">
        <v>98</v>
      </c>
      <c r="K18" s="34" t="s">
        <v>17</v>
      </c>
      <c r="L18" s="34" t="s">
        <v>19</v>
      </c>
      <c r="M18" s="35" t="n">
        <v>44920</v>
      </c>
      <c r="N18" s="36" t="n">
        <v>899.99</v>
      </c>
    </row>
    <row r="19" customFormat="false" ht="15" hidden="false" customHeight="true" outlineLevel="0" collapsed="false">
      <c r="A19" s="31" t="s">
        <v>122</v>
      </c>
      <c r="B19" s="32" t="n">
        <v>45410</v>
      </c>
      <c r="C19" s="31" t="s">
        <v>123</v>
      </c>
      <c r="D19" s="31" t="s">
        <v>18</v>
      </c>
      <c r="E19" s="31" t="s">
        <v>89</v>
      </c>
      <c r="F19" s="31" t="s">
        <v>44</v>
      </c>
      <c r="G19" s="31" t="s">
        <v>45</v>
      </c>
      <c r="H19" s="31" t="n">
        <v>4</v>
      </c>
      <c r="I19" s="33" t="n">
        <v>149.99</v>
      </c>
      <c r="J19" s="31" t="s">
        <v>98</v>
      </c>
      <c r="K19" s="31" t="s">
        <v>17</v>
      </c>
      <c r="L19" s="31" t="s">
        <v>22</v>
      </c>
      <c r="M19" s="32" t="n">
        <v>45374</v>
      </c>
      <c r="N19" s="33" t="n">
        <v>599.96</v>
      </c>
    </row>
    <row r="20" customFormat="false" ht="15" hidden="false" customHeight="true" outlineLevel="0" collapsed="false">
      <c r="A20" s="34" t="s">
        <v>124</v>
      </c>
      <c r="B20" s="35" t="n">
        <v>45410</v>
      </c>
      <c r="C20" s="34" t="s">
        <v>125</v>
      </c>
      <c r="D20" s="34" t="s">
        <v>126</v>
      </c>
      <c r="E20" s="34" t="s">
        <v>118</v>
      </c>
      <c r="F20" s="34" t="s">
        <v>37</v>
      </c>
      <c r="G20" s="34" t="s">
        <v>36</v>
      </c>
      <c r="H20" s="34" t="n">
        <v>2</v>
      </c>
      <c r="I20" s="36" t="n">
        <v>699.99</v>
      </c>
      <c r="J20" s="34" t="s">
        <v>73</v>
      </c>
      <c r="K20" s="34" t="s">
        <v>17</v>
      </c>
      <c r="L20" s="34" t="s">
        <v>74</v>
      </c>
      <c r="M20" s="35" t="n">
        <v>44781</v>
      </c>
      <c r="N20" s="36" t="n">
        <v>1399.98</v>
      </c>
    </row>
    <row r="21" customFormat="false" ht="15" hidden="false" customHeight="true" outlineLevel="0" collapsed="false">
      <c r="A21" s="31" t="s">
        <v>127</v>
      </c>
      <c r="B21" s="32" t="n">
        <v>45410</v>
      </c>
      <c r="C21" s="31" t="s">
        <v>123</v>
      </c>
      <c r="D21" s="31" t="s">
        <v>18</v>
      </c>
      <c r="E21" s="31" t="s">
        <v>102</v>
      </c>
      <c r="F21" s="31" t="s">
        <v>35</v>
      </c>
      <c r="G21" s="31" t="s">
        <v>36</v>
      </c>
      <c r="H21" s="31" t="n">
        <v>4</v>
      </c>
      <c r="I21" s="33" t="n">
        <v>899.99</v>
      </c>
      <c r="J21" s="31" t="s">
        <v>77</v>
      </c>
      <c r="K21" s="31" t="s">
        <v>25</v>
      </c>
      <c r="L21" s="31" t="s">
        <v>19</v>
      </c>
      <c r="M21" s="32" t="n">
        <v>45327</v>
      </c>
      <c r="N21" s="33" t="n">
        <v>3599.96</v>
      </c>
    </row>
    <row r="22" customFormat="false" ht="15" hidden="false" customHeight="true" outlineLevel="0" collapsed="false">
      <c r="A22" s="34" t="s">
        <v>128</v>
      </c>
      <c r="B22" s="35" t="n">
        <v>45410</v>
      </c>
      <c r="C22" s="34" t="s">
        <v>129</v>
      </c>
      <c r="D22" s="34" t="s">
        <v>130</v>
      </c>
      <c r="E22" s="34" t="s">
        <v>72</v>
      </c>
      <c r="F22" s="34" t="s">
        <v>39</v>
      </c>
      <c r="G22" s="34" t="s">
        <v>36</v>
      </c>
      <c r="H22" s="34" t="n">
        <v>3</v>
      </c>
      <c r="I22" s="36" t="n">
        <v>249.99</v>
      </c>
      <c r="J22" s="34" t="s">
        <v>77</v>
      </c>
      <c r="K22" s="34" t="s">
        <v>17</v>
      </c>
      <c r="L22" s="34" t="s">
        <v>22</v>
      </c>
      <c r="M22" s="35" t="n">
        <v>45224</v>
      </c>
      <c r="N22" s="36" t="n">
        <v>749.97</v>
      </c>
    </row>
    <row r="23" customFormat="false" ht="15" hidden="false" customHeight="true" outlineLevel="0" collapsed="false">
      <c r="A23" s="31" t="s">
        <v>131</v>
      </c>
      <c r="B23" s="32" t="n">
        <v>45412</v>
      </c>
      <c r="C23" s="31" t="s">
        <v>132</v>
      </c>
      <c r="D23" s="31" t="s">
        <v>26</v>
      </c>
      <c r="E23" s="31" t="s">
        <v>118</v>
      </c>
      <c r="F23" s="31" t="s">
        <v>37</v>
      </c>
      <c r="G23" s="31" t="s">
        <v>36</v>
      </c>
      <c r="H23" s="31" t="n">
        <v>5</v>
      </c>
      <c r="I23" s="33" t="n">
        <v>699.99</v>
      </c>
      <c r="J23" s="31" t="s">
        <v>73</v>
      </c>
      <c r="K23" s="31" t="s">
        <v>25</v>
      </c>
      <c r="L23" s="31" t="s">
        <v>74</v>
      </c>
      <c r="M23" s="32" t="n">
        <v>45167</v>
      </c>
      <c r="N23" s="33" t="n">
        <v>3499.95</v>
      </c>
    </row>
    <row r="24" customFormat="false" ht="15" hidden="false" customHeight="true" outlineLevel="0" collapsed="false">
      <c r="A24" s="34" t="s">
        <v>133</v>
      </c>
      <c r="B24" s="35" t="n">
        <v>45413</v>
      </c>
      <c r="C24" s="34" t="s">
        <v>134</v>
      </c>
      <c r="D24" s="34" t="s">
        <v>135</v>
      </c>
      <c r="E24" s="34" t="s">
        <v>118</v>
      </c>
      <c r="F24" s="34" t="s">
        <v>37</v>
      </c>
      <c r="G24" s="34" t="s">
        <v>36</v>
      </c>
      <c r="H24" s="34" t="n">
        <v>4</v>
      </c>
      <c r="I24" s="36" t="n">
        <v>699.99</v>
      </c>
      <c r="J24" s="34" t="s">
        <v>73</v>
      </c>
      <c r="K24" s="34" t="s">
        <v>23</v>
      </c>
      <c r="L24" s="34" t="s">
        <v>19</v>
      </c>
      <c r="M24" s="35" t="n">
        <v>44409</v>
      </c>
      <c r="N24" s="36" t="n">
        <v>2799.96</v>
      </c>
    </row>
    <row r="25" customFormat="false" ht="15" hidden="false" customHeight="true" outlineLevel="0" collapsed="false">
      <c r="A25" s="31" t="s">
        <v>136</v>
      </c>
      <c r="B25" s="32" t="n">
        <v>45415</v>
      </c>
      <c r="C25" s="31" t="s">
        <v>137</v>
      </c>
      <c r="D25" s="31" t="s">
        <v>138</v>
      </c>
      <c r="E25" s="31" t="s">
        <v>72</v>
      </c>
      <c r="F25" s="31" t="s">
        <v>39</v>
      </c>
      <c r="G25" s="31" t="s">
        <v>36</v>
      </c>
      <c r="H25" s="31" t="n">
        <v>4</v>
      </c>
      <c r="I25" s="33" t="n">
        <v>249.99</v>
      </c>
      <c r="J25" s="31" t="s">
        <v>82</v>
      </c>
      <c r="K25" s="31" t="s">
        <v>17</v>
      </c>
      <c r="L25" s="31" t="s">
        <v>19</v>
      </c>
      <c r="M25" s="32" t="n">
        <v>44468</v>
      </c>
      <c r="N25" s="33" t="n">
        <v>999.96</v>
      </c>
    </row>
    <row r="26" customFormat="false" ht="15" hidden="false" customHeight="true" outlineLevel="0" collapsed="false">
      <c r="A26" s="34" t="s">
        <v>139</v>
      </c>
      <c r="B26" s="35" t="n">
        <v>45416</v>
      </c>
      <c r="C26" s="34" t="s">
        <v>123</v>
      </c>
      <c r="D26" s="34" t="s">
        <v>18</v>
      </c>
      <c r="E26" s="34" t="s">
        <v>140</v>
      </c>
      <c r="F26" s="34" t="s">
        <v>46</v>
      </c>
      <c r="G26" s="34" t="s">
        <v>45</v>
      </c>
      <c r="H26" s="34" t="n">
        <v>4</v>
      </c>
      <c r="I26" s="36" t="n">
        <v>299.99</v>
      </c>
      <c r="J26" s="34" t="s">
        <v>73</v>
      </c>
      <c r="K26" s="34" t="s">
        <v>25</v>
      </c>
      <c r="L26" s="34" t="s">
        <v>22</v>
      </c>
      <c r="M26" s="35" t="n">
        <v>44716</v>
      </c>
      <c r="N26" s="36" t="n">
        <v>1199.96</v>
      </c>
    </row>
    <row r="27" customFormat="false" ht="15" hidden="false" customHeight="true" outlineLevel="0" collapsed="false">
      <c r="A27" s="31" t="s">
        <v>141</v>
      </c>
      <c r="B27" s="32" t="n">
        <v>45422</v>
      </c>
      <c r="C27" s="31" t="s">
        <v>142</v>
      </c>
      <c r="D27" s="31" t="s">
        <v>143</v>
      </c>
      <c r="E27" s="31" t="s">
        <v>72</v>
      </c>
      <c r="F27" s="31" t="s">
        <v>39</v>
      </c>
      <c r="G27" s="31" t="s">
        <v>36</v>
      </c>
      <c r="H27" s="31" t="n">
        <v>5</v>
      </c>
      <c r="I27" s="33" t="n">
        <v>249.99</v>
      </c>
      <c r="J27" s="31" t="s">
        <v>77</v>
      </c>
      <c r="K27" s="31" t="s">
        <v>25</v>
      </c>
      <c r="L27" s="31" t="s">
        <v>19</v>
      </c>
      <c r="M27" s="32" t="n">
        <v>44525</v>
      </c>
      <c r="N27" s="33" t="n">
        <v>1249.95</v>
      </c>
    </row>
    <row r="28" customFormat="false" ht="15" hidden="false" customHeight="true" outlineLevel="0" collapsed="false">
      <c r="A28" s="34" t="s">
        <v>144</v>
      </c>
      <c r="B28" s="35" t="n">
        <v>45424</v>
      </c>
      <c r="C28" s="34" t="s">
        <v>106</v>
      </c>
      <c r="D28" s="34" t="s">
        <v>107</v>
      </c>
      <c r="E28" s="34" t="s">
        <v>140</v>
      </c>
      <c r="F28" s="34" t="s">
        <v>46</v>
      </c>
      <c r="G28" s="34" t="s">
        <v>45</v>
      </c>
      <c r="H28" s="34" t="n">
        <v>5</v>
      </c>
      <c r="I28" s="36" t="n">
        <v>299.99</v>
      </c>
      <c r="J28" s="34" t="s">
        <v>82</v>
      </c>
      <c r="K28" s="34" t="s">
        <v>23</v>
      </c>
      <c r="L28" s="34" t="s">
        <v>74</v>
      </c>
      <c r="M28" s="35" t="n">
        <v>45168</v>
      </c>
      <c r="N28" s="36" t="n">
        <v>1499.95</v>
      </c>
    </row>
    <row r="29" customFormat="false" ht="15" hidden="false" customHeight="true" outlineLevel="0" collapsed="false">
      <c r="A29" s="31" t="s">
        <v>145</v>
      </c>
      <c r="B29" s="32" t="n">
        <v>45424</v>
      </c>
      <c r="C29" s="31" t="s">
        <v>146</v>
      </c>
      <c r="D29" s="31" t="s">
        <v>147</v>
      </c>
      <c r="E29" s="31" t="s">
        <v>148</v>
      </c>
      <c r="F29" s="31" t="s">
        <v>43</v>
      </c>
      <c r="G29" s="31" t="s">
        <v>42</v>
      </c>
      <c r="H29" s="31" t="n">
        <v>3</v>
      </c>
      <c r="I29" s="33" t="n">
        <v>79.99</v>
      </c>
      <c r="J29" s="31" t="s">
        <v>82</v>
      </c>
      <c r="K29" s="31" t="s">
        <v>23</v>
      </c>
      <c r="L29" s="31" t="s">
        <v>22</v>
      </c>
      <c r="M29" s="32" t="n">
        <v>45012</v>
      </c>
      <c r="N29" s="33" t="n">
        <v>239.97</v>
      </c>
    </row>
    <row r="30" customFormat="false" ht="15" hidden="false" customHeight="true" outlineLevel="0" collapsed="false">
      <c r="A30" s="34" t="s">
        <v>149</v>
      </c>
      <c r="B30" s="35" t="n">
        <v>45424</v>
      </c>
      <c r="C30" s="34" t="s">
        <v>134</v>
      </c>
      <c r="D30" s="34" t="s">
        <v>135</v>
      </c>
      <c r="E30" s="34" t="s">
        <v>150</v>
      </c>
      <c r="F30" s="34" t="s">
        <v>40</v>
      </c>
      <c r="G30" s="34" t="s">
        <v>36</v>
      </c>
      <c r="H30" s="34" t="n">
        <v>5</v>
      </c>
      <c r="I30" s="36" t="n">
        <v>89.99</v>
      </c>
      <c r="J30" s="34" t="s">
        <v>73</v>
      </c>
      <c r="K30" s="34" t="s">
        <v>17</v>
      </c>
      <c r="L30" s="34" t="s">
        <v>22</v>
      </c>
      <c r="M30" s="35" t="n">
        <v>44919</v>
      </c>
      <c r="N30" s="36" t="n">
        <v>449.95</v>
      </c>
    </row>
    <row r="31" customFormat="false" ht="15" hidden="false" customHeight="true" outlineLevel="0" collapsed="false">
      <c r="A31" s="31" t="s">
        <v>151</v>
      </c>
      <c r="B31" s="32" t="n">
        <v>45425</v>
      </c>
      <c r="C31" s="31" t="s">
        <v>152</v>
      </c>
      <c r="D31" s="31" t="s">
        <v>153</v>
      </c>
      <c r="E31" s="31" t="s">
        <v>81</v>
      </c>
      <c r="F31" s="31" t="s">
        <v>41</v>
      </c>
      <c r="G31" s="31" t="s">
        <v>42</v>
      </c>
      <c r="H31" s="31" t="n">
        <v>2</v>
      </c>
      <c r="I31" s="33" t="n">
        <v>59.99</v>
      </c>
      <c r="J31" s="31" t="s">
        <v>98</v>
      </c>
      <c r="K31" s="31" t="s">
        <v>27</v>
      </c>
      <c r="L31" s="31" t="s">
        <v>19</v>
      </c>
      <c r="M31" s="32" t="n">
        <v>45214</v>
      </c>
      <c r="N31" s="33" t="n">
        <v>119.98</v>
      </c>
    </row>
    <row r="32" customFormat="false" ht="15" hidden="false" customHeight="true" outlineLevel="0" collapsed="false">
      <c r="A32" s="34" t="s">
        <v>154</v>
      </c>
      <c r="B32" s="35" t="n">
        <v>45427</v>
      </c>
      <c r="C32" s="34" t="s">
        <v>155</v>
      </c>
      <c r="D32" s="34" t="s">
        <v>21</v>
      </c>
      <c r="E32" s="34" t="s">
        <v>81</v>
      </c>
      <c r="F32" s="34" t="s">
        <v>41</v>
      </c>
      <c r="G32" s="34" t="s">
        <v>42</v>
      </c>
      <c r="H32" s="34" t="n">
        <v>4</v>
      </c>
      <c r="I32" s="36" t="n">
        <v>59.99</v>
      </c>
      <c r="J32" s="34" t="s">
        <v>98</v>
      </c>
      <c r="K32" s="34" t="s">
        <v>23</v>
      </c>
      <c r="L32" s="34" t="s">
        <v>19</v>
      </c>
      <c r="M32" s="35" t="n">
        <v>44867</v>
      </c>
      <c r="N32" s="36" t="n">
        <v>239.96</v>
      </c>
    </row>
    <row r="33" customFormat="false" ht="15" hidden="false" customHeight="true" outlineLevel="0" collapsed="false">
      <c r="A33" s="31" t="s">
        <v>156</v>
      </c>
      <c r="B33" s="32" t="n">
        <v>45427</v>
      </c>
      <c r="C33" s="31" t="s">
        <v>96</v>
      </c>
      <c r="D33" s="31" t="s">
        <v>97</v>
      </c>
      <c r="E33" s="31" t="s">
        <v>157</v>
      </c>
      <c r="F33" s="31" t="s">
        <v>47</v>
      </c>
      <c r="G33" s="31" t="s">
        <v>45</v>
      </c>
      <c r="H33" s="31" t="n">
        <v>5</v>
      </c>
      <c r="I33" s="33" t="n">
        <v>199.99</v>
      </c>
      <c r="J33" s="31" t="s">
        <v>73</v>
      </c>
      <c r="K33" s="31" t="s">
        <v>20</v>
      </c>
      <c r="L33" s="31" t="s">
        <v>19</v>
      </c>
      <c r="M33" s="32" t="n">
        <v>44412</v>
      </c>
      <c r="N33" s="33" t="n">
        <v>999.95</v>
      </c>
    </row>
    <row r="34" customFormat="false" ht="15" hidden="false" customHeight="true" outlineLevel="0" collapsed="false">
      <c r="A34" s="34" t="s">
        <v>158</v>
      </c>
      <c r="B34" s="35" t="n">
        <v>45428</v>
      </c>
      <c r="C34" s="34" t="s">
        <v>159</v>
      </c>
      <c r="D34" s="34" t="s">
        <v>160</v>
      </c>
      <c r="E34" s="34" t="s">
        <v>89</v>
      </c>
      <c r="F34" s="34" t="s">
        <v>44</v>
      </c>
      <c r="G34" s="34" t="s">
        <v>45</v>
      </c>
      <c r="H34" s="34" t="n">
        <v>2</v>
      </c>
      <c r="I34" s="36" t="n">
        <v>149.99</v>
      </c>
      <c r="J34" s="34" t="s">
        <v>77</v>
      </c>
      <c r="K34" s="34" t="s">
        <v>25</v>
      </c>
      <c r="L34" s="34" t="s">
        <v>74</v>
      </c>
      <c r="M34" s="35" t="n">
        <v>44823</v>
      </c>
      <c r="N34" s="36" t="n">
        <v>299.98</v>
      </c>
    </row>
    <row r="35" customFormat="false" ht="15" hidden="false" customHeight="true" outlineLevel="0" collapsed="false">
      <c r="A35" s="31" t="s">
        <v>161</v>
      </c>
      <c r="B35" s="32" t="n">
        <v>45430</v>
      </c>
      <c r="C35" s="31" t="s">
        <v>162</v>
      </c>
      <c r="D35" s="31" t="s">
        <v>163</v>
      </c>
      <c r="E35" s="31" t="s">
        <v>89</v>
      </c>
      <c r="F35" s="31" t="s">
        <v>44</v>
      </c>
      <c r="G35" s="31" t="s">
        <v>45</v>
      </c>
      <c r="H35" s="31" t="n">
        <v>3</v>
      </c>
      <c r="I35" s="33" t="n">
        <v>149.99</v>
      </c>
      <c r="J35" s="31" t="s">
        <v>77</v>
      </c>
      <c r="K35" s="31" t="s">
        <v>25</v>
      </c>
      <c r="L35" s="31" t="s">
        <v>22</v>
      </c>
      <c r="M35" s="32" t="n">
        <v>45068</v>
      </c>
      <c r="N35" s="33" t="n">
        <v>449.97</v>
      </c>
    </row>
    <row r="36" customFormat="false" ht="15" hidden="false" customHeight="true" outlineLevel="0" collapsed="false">
      <c r="A36" s="34" t="s">
        <v>164</v>
      </c>
      <c r="B36" s="35" t="n">
        <v>45432</v>
      </c>
      <c r="C36" s="34" t="s">
        <v>79</v>
      </c>
      <c r="D36" s="34" t="s">
        <v>80</v>
      </c>
      <c r="E36" s="34" t="s">
        <v>102</v>
      </c>
      <c r="F36" s="34" t="s">
        <v>35</v>
      </c>
      <c r="G36" s="34" t="s">
        <v>36</v>
      </c>
      <c r="H36" s="34" t="n">
        <v>1</v>
      </c>
      <c r="I36" s="36" t="n">
        <v>899.99</v>
      </c>
      <c r="J36" s="34" t="s">
        <v>77</v>
      </c>
      <c r="K36" s="34" t="s">
        <v>25</v>
      </c>
      <c r="L36" s="34" t="s">
        <v>22</v>
      </c>
      <c r="M36" s="35" t="n">
        <v>44578</v>
      </c>
      <c r="N36" s="36" t="n">
        <v>899.99</v>
      </c>
    </row>
    <row r="37" customFormat="false" ht="15" hidden="false" customHeight="true" outlineLevel="0" collapsed="false">
      <c r="A37" s="31" t="s">
        <v>165</v>
      </c>
      <c r="B37" s="32" t="n">
        <v>45434</v>
      </c>
      <c r="C37" s="31" t="s">
        <v>134</v>
      </c>
      <c r="D37" s="31" t="s">
        <v>135</v>
      </c>
      <c r="E37" s="31" t="s">
        <v>140</v>
      </c>
      <c r="F37" s="31" t="s">
        <v>46</v>
      </c>
      <c r="G37" s="31" t="s">
        <v>45</v>
      </c>
      <c r="H37" s="31" t="n">
        <v>3</v>
      </c>
      <c r="I37" s="33" t="n">
        <v>299.99</v>
      </c>
      <c r="J37" s="31" t="s">
        <v>77</v>
      </c>
      <c r="K37" s="31" t="s">
        <v>23</v>
      </c>
      <c r="L37" s="31" t="s">
        <v>74</v>
      </c>
      <c r="M37" s="32" t="n">
        <v>44824</v>
      </c>
      <c r="N37" s="33" t="n">
        <v>899.97</v>
      </c>
    </row>
    <row r="38" customFormat="false" ht="15" hidden="false" customHeight="true" outlineLevel="0" collapsed="false">
      <c r="A38" s="34" t="s">
        <v>166</v>
      </c>
      <c r="B38" s="35" t="n">
        <v>45435</v>
      </c>
      <c r="C38" s="34" t="s">
        <v>159</v>
      </c>
      <c r="D38" s="34" t="s">
        <v>160</v>
      </c>
      <c r="E38" s="34" t="s">
        <v>148</v>
      </c>
      <c r="F38" s="34" t="s">
        <v>43</v>
      </c>
      <c r="G38" s="34" t="s">
        <v>42</v>
      </c>
      <c r="H38" s="34" t="n">
        <v>3</v>
      </c>
      <c r="I38" s="36" t="n">
        <v>79.99</v>
      </c>
      <c r="J38" s="34" t="s">
        <v>73</v>
      </c>
      <c r="K38" s="34" t="s">
        <v>20</v>
      </c>
      <c r="L38" s="34" t="s">
        <v>74</v>
      </c>
      <c r="M38" s="35" t="n">
        <v>45046</v>
      </c>
      <c r="N38" s="36" t="n">
        <v>239.97</v>
      </c>
    </row>
    <row r="39" customFormat="false" ht="15" hidden="false" customHeight="true" outlineLevel="0" collapsed="false">
      <c r="A39" s="31" t="s">
        <v>167</v>
      </c>
      <c r="B39" s="32" t="n">
        <v>45438</v>
      </c>
      <c r="C39" s="31" t="s">
        <v>168</v>
      </c>
      <c r="D39" s="31" t="s">
        <v>169</v>
      </c>
      <c r="E39" s="31" t="s">
        <v>157</v>
      </c>
      <c r="F39" s="31" t="s">
        <v>47</v>
      </c>
      <c r="G39" s="31" t="s">
        <v>45</v>
      </c>
      <c r="H39" s="31" t="n">
        <v>3</v>
      </c>
      <c r="I39" s="33" t="n">
        <v>199.99</v>
      </c>
      <c r="J39" s="31" t="s">
        <v>77</v>
      </c>
      <c r="K39" s="31" t="s">
        <v>17</v>
      </c>
      <c r="L39" s="31" t="s">
        <v>22</v>
      </c>
      <c r="M39" s="32" t="n">
        <v>45292</v>
      </c>
      <c r="N39" s="33" t="n">
        <v>599.97</v>
      </c>
    </row>
    <row r="40" customFormat="false" ht="15" hidden="false" customHeight="true" outlineLevel="0" collapsed="false">
      <c r="A40" s="34" t="s">
        <v>170</v>
      </c>
      <c r="B40" s="35" t="n">
        <v>45440</v>
      </c>
      <c r="C40" s="34" t="s">
        <v>171</v>
      </c>
      <c r="D40" s="34" t="s">
        <v>172</v>
      </c>
      <c r="E40" s="34" t="s">
        <v>118</v>
      </c>
      <c r="F40" s="34" t="s">
        <v>37</v>
      </c>
      <c r="G40" s="34" t="s">
        <v>36</v>
      </c>
      <c r="H40" s="34" t="n">
        <v>5</v>
      </c>
      <c r="I40" s="36" t="n">
        <v>699.99</v>
      </c>
      <c r="J40" s="34" t="s">
        <v>82</v>
      </c>
      <c r="K40" s="34" t="s">
        <v>25</v>
      </c>
      <c r="L40" s="34" t="s">
        <v>19</v>
      </c>
      <c r="M40" s="35" t="n">
        <v>44407</v>
      </c>
      <c r="N40" s="36" t="n">
        <v>3499.95</v>
      </c>
    </row>
    <row r="41" customFormat="false" ht="15" hidden="false" customHeight="true" outlineLevel="0" collapsed="false">
      <c r="A41" s="31" t="s">
        <v>173</v>
      </c>
      <c r="B41" s="32" t="n">
        <v>45441</v>
      </c>
      <c r="C41" s="31" t="s">
        <v>174</v>
      </c>
      <c r="D41" s="31" t="s">
        <v>175</v>
      </c>
      <c r="E41" s="31" t="s">
        <v>150</v>
      </c>
      <c r="F41" s="31" t="s">
        <v>40</v>
      </c>
      <c r="G41" s="31" t="s">
        <v>36</v>
      </c>
      <c r="H41" s="31" t="n">
        <v>3</v>
      </c>
      <c r="I41" s="33" t="n">
        <v>89.99</v>
      </c>
      <c r="J41" s="31" t="s">
        <v>82</v>
      </c>
      <c r="K41" s="31" t="s">
        <v>27</v>
      </c>
      <c r="L41" s="31" t="s">
        <v>22</v>
      </c>
      <c r="M41" s="32" t="n">
        <v>45120</v>
      </c>
      <c r="N41" s="33" t="n">
        <v>269.97</v>
      </c>
    </row>
    <row r="42" customFormat="false" ht="15" hidden="false" customHeight="true" outlineLevel="0" collapsed="false">
      <c r="A42" s="34" t="s">
        <v>176</v>
      </c>
      <c r="B42" s="35" t="n">
        <v>45443</v>
      </c>
      <c r="C42" s="34" t="s">
        <v>177</v>
      </c>
      <c r="D42" s="34" t="s">
        <v>178</v>
      </c>
      <c r="E42" s="34" t="s">
        <v>148</v>
      </c>
      <c r="F42" s="34" t="s">
        <v>43</v>
      </c>
      <c r="G42" s="34" t="s">
        <v>42</v>
      </c>
      <c r="H42" s="34" t="n">
        <v>1</v>
      </c>
      <c r="I42" s="36" t="n">
        <v>79.99</v>
      </c>
      <c r="J42" s="34" t="s">
        <v>73</v>
      </c>
      <c r="K42" s="34" t="s">
        <v>17</v>
      </c>
      <c r="L42" s="34" t="s">
        <v>19</v>
      </c>
      <c r="M42" s="35" t="n">
        <v>44917</v>
      </c>
      <c r="N42" s="36" t="n">
        <v>79.99</v>
      </c>
    </row>
    <row r="43" customFormat="false" ht="15" hidden="false" customHeight="true" outlineLevel="0" collapsed="false">
      <c r="A43" s="31" t="s">
        <v>179</v>
      </c>
      <c r="B43" s="32" t="n">
        <v>45444</v>
      </c>
      <c r="C43" s="31" t="s">
        <v>180</v>
      </c>
      <c r="D43" s="31" t="s">
        <v>181</v>
      </c>
      <c r="E43" s="31" t="s">
        <v>81</v>
      </c>
      <c r="F43" s="31" t="s">
        <v>41</v>
      </c>
      <c r="G43" s="31" t="s">
        <v>42</v>
      </c>
      <c r="H43" s="31" t="n">
        <v>2</v>
      </c>
      <c r="I43" s="33" t="n">
        <v>59.99</v>
      </c>
      <c r="J43" s="31" t="s">
        <v>73</v>
      </c>
      <c r="K43" s="31" t="s">
        <v>25</v>
      </c>
      <c r="L43" s="31" t="s">
        <v>74</v>
      </c>
      <c r="M43" s="32" t="n">
        <v>45390</v>
      </c>
      <c r="N43" s="33" t="n">
        <v>119.98</v>
      </c>
    </row>
    <row r="44" customFormat="false" ht="15" hidden="false" customHeight="true" outlineLevel="0" collapsed="false">
      <c r="A44" s="34" t="s">
        <v>182</v>
      </c>
      <c r="B44" s="35" t="n">
        <v>45444</v>
      </c>
      <c r="C44" s="34" t="s">
        <v>96</v>
      </c>
      <c r="D44" s="34" t="s">
        <v>97</v>
      </c>
      <c r="E44" s="34" t="s">
        <v>150</v>
      </c>
      <c r="F44" s="34" t="s">
        <v>40</v>
      </c>
      <c r="G44" s="34" t="s">
        <v>36</v>
      </c>
      <c r="H44" s="34" t="n">
        <v>1</v>
      </c>
      <c r="I44" s="36" t="n">
        <v>89.99</v>
      </c>
      <c r="J44" s="34" t="s">
        <v>73</v>
      </c>
      <c r="K44" s="34" t="s">
        <v>17</v>
      </c>
      <c r="L44" s="34" t="s">
        <v>74</v>
      </c>
      <c r="M44" s="35" t="n">
        <v>45141</v>
      </c>
      <c r="N44" s="36" t="n">
        <v>89.99</v>
      </c>
    </row>
    <row r="45" customFormat="false" ht="15" hidden="false" customHeight="true" outlineLevel="0" collapsed="false">
      <c r="A45" s="31" t="s">
        <v>183</v>
      </c>
      <c r="B45" s="32" t="n">
        <v>45446</v>
      </c>
      <c r="C45" s="31" t="s">
        <v>184</v>
      </c>
      <c r="D45" s="31" t="s">
        <v>185</v>
      </c>
      <c r="E45" s="31" t="s">
        <v>150</v>
      </c>
      <c r="F45" s="31" t="s">
        <v>40</v>
      </c>
      <c r="G45" s="31" t="s">
        <v>36</v>
      </c>
      <c r="H45" s="31" t="n">
        <v>5</v>
      </c>
      <c r="I45" s="33" t="n">
        <v>89.99</v>
      </c>
      <c r="J45" s="31" t="s">
        <v>77</v>
      </c>
      <c r="K45" s="31" t="s">
        <v>23</v>
      </c>
      <c r="L45" s="31" t="s">
        <v>19</v>
      </c>
      <c r="M45" s="32" t="n">
        <v>44587</v>
      </c>
      <c r="N45" s="33" t="n">
        <v>449.95</v>
      </c>
    </row>
    <row r="46" customFormat="false" ht="15" hidden="false" customHeight="true" outlineLevel="0" collapsed="false">
      <c r="A46" s="34" t="s">
        <v>186</v>
      </c>
      <c r="B46" s="35" t="n">
        <v>45449</v>
      </c>
      <c r="C46" s="34" t="s">
        <v>76</v>
      </c>
      <c r="D46" s="34" t="s">
        <v>28</v>
      </c>
      <c r="E46" s="34" t="s">
        <v>72</v>
      </c>
      <c r="F46" s="34" t="s">
        <v>39</v>
      </c>
      <c r="G46" s="34" t="s">
        <v>36</v>
      </c>
      <c r="H46" s="34" t="n">
        <v>5</v>
      </c>
      <c r="I46" s="36" t="n">
        <v>249.99</v>
      </c>
      <c r="J46" s="34" t="s">
        <v>77</v>
      </c>
      <c r="K46" s="34" t="s">
        <v>23</v>
      </c>
      <c r="L46" s="34" t="s">
        <v>19</v>
      </c>
      <c r="M46" s="35" t="n">
        <v>44707</v>
      </c>
      <c r="N46" s="36" t="n">
        <v>1249.95</v>
      </c>
    </row>
    <row r="47" customFormat="false" ht="15" hidden="false" customHeight="true" outlineLevel="0" collapsed="false">
      <c r="A47" s="31" t="s">
        <v>187</v>
      </c>
      <c r="B47" s="32" t="n">
        <v>45449</v>
      </c>
      <c r="C47" s="31" t="s">
        <v>188</v>
      </c>
      <c r="D47" s="31" t="s">
        <v>189</v>
      </c>
      <c r="E47" s="31" t="s">
        <v>150</v>
      </c>
      <c r="F47" s="31" t="s">
        <v>40</v>
      </c>
      <c r="G47" s="31" t="s">
        <v>36</v>
      </c>
      <c r="H47" s="31" t="n">
        <v>1</v>
      </c>
      <c r="I47" s="33" t="n">
        <v>89.99</v>
      </c>
      <c r="J47" s="31" t="s">
        <v>77</v>
      </c>
      <c r="K47" s="31" t="s">
        <v>20</v>
      </c>
      <c r="L47" s="31" t="s">
        <v>19</v>
      </c>
      <c r="M47" s="32" t="n">
        <v>44582</v>
      </c>
      <c r="N47" s="33" t="n">
        <v>89.99</v>
      </c>
    </row>
    <row r="48" customFormat="false" ht="15" hidden="false" customHeight="true" outlineLevel="0" collapsed="false">
      <c r="A48" s="34" t="s">
        <v>190</v>
      </c>
      <c r="B48" s="35" t="n">
        <v>45450</v>
      </c>
      <c r="C48" s="34" t="s">
        <v>87</v>
      </c>
      <c r="D48" s="34" t="s">
        <v>88</v>
      </c>
      <c r="E48" s="34" t="s">
        <v>89</v>
      </c>
      <c r="F48" s="34" t="s">
        <v>44</v>
      </c>
      <c r="G48" s="34" t="s">
        <v>45</v>
      </c>
      <c r="H48" s="34" t="n">
        <v>2</v>
      </c>
      <c r="I48" s="36" t="n">
        <v>149.99</v>
      </c>
      <c r="J48" s="34" t="s">
        <v>73</v>
      </c>
      <c r="K48" s="34" t="s">
        <v>23</v>
      </c>
      <c r="L48" s="34" t="s">
        <v>22</v>
      </c>
      <c r="M48" s="35" t="n">
        <v>44645</v>
      </c>
      <c r="N48" s="36" t="n">
        <v>299.98</v>
      </c>
    </row>
    <row r="49" customFormat="false" ht="15" hidden="false" customHeight="true" outlineLevel="0" collapsed="false">
      <c r="A49" s="31" t="s">
        <v>191</v>
      </c>
      <c r="B49" s="32" t="n">
        <v>45452</v>
      </c>
      <c r="C49" s="31" t="s">
        <v>192</v>
      </c>
      <c r="D49" s="31" t="s">
        <v>193</v>
      </c>
      <c r="E49" s="31" t="s">
        <v>81</v>
      </c>
      <c r="F49" s="31" t="s">
        <v>41</v>
      </c>
      <c r="G49" s="31" t="s">
        <v>42</v>
      </c>
      <c r="H49" s="31" t="n">
        <v>4</v>
      </c>
      <c r="I49" s="33" t="n">
        <v>59.99</v>
      </c>
      <c r="J49" s="31" t="s">
        <v>73</v>
      </c>
      <c r="K49" s="31" t="s">
        <v>23</v>
      </c>
      <c r="L49" s="31" t="s">
        <v>19</v>
      </c>
      <c r="M49" s="32" t="n">
        <v>44435</v>
      </c>
      <c r="N49" s="33" t="n">
        <v>239.96</v>
      </c>
    </row>
    <row r="50" customFormat="false" ht="15" hidden="false" customHeight="true" outlineLevel="0" collapsed="false">
      <c r="A50" s="34" t="s">
        <v>194</v>
      </c>
      <c r="B50" s="35" t="n">
        <v>45456</v>
      </c>
      <c r="C50" s="34" t="s">
        <v>159</v>
      </c>
      <c r="D50" s="34" t="s">
        <v>160</v>
      </c>
      <c r="E50" s="34" t="s">
        <v>150</v>
      </c>
      <c r="F50" s="34" t="s">
        <v>40</v>
      </c>
      <c r="G50" s="34" t="s">
        <v>36</v>
      </c>
      <c r="H50" s="34" t="n">
        <v>5</v>
      </c>
      <c r="I50" s="36" t="n">
        <v>89.99</v>
      </c>
      <c r="J50" s="34" t="s">
        <v>73</v>
      </c>
      <c r="K50" s="34" t="s">
        <v>27</v>
      </c>
      <c r="L50" s="34" t="s">
        <v>22</v>
      </c>
      <c r="M50" s="35" t="n">
        <v>44579</v>
      </c>
      <c r="N50" s="36" t="n">
        <v>449.95</v>
      </c>
    </row>
    <row r="51" customFormat="false" ht="15" hidden="false" customHeight="true" outlineLevel="0" collapsed="false">
      <c r="A51" s="31" t="s">
        <v>195</v>
      </c>
      <c r="B51" s="32" t="n">
        <v>45459</v>
      </c>
      <c r="C51" s="31" t="s">
        <v>134</v>
      </c>
      <c r="D51" s="31" t="s">
        <v>135</v>
      </c>
      <c r="E51" s="31" t="s">
        <v>150</v>
      </c>
      <c r="F51" s="31" t="s">
        <v>40</v>
      </c>
      <c r="G51" s="31" t="s">
        <v>36</v>
      </c>
      <c r="H51" s="31" t="n">
        <v>2</v>
      </c>
      <c r="I51" s="33" t="n">
        <v>89.99</v>
      </c>
      <c r="J51" s="31" t="s">
        <v>77</v>
      </c>
      <c r="K51" s="31" t="s">
        <v>20</v>
      </c>
      <c r="L51" s="31" t="s">
        <v>22</v>
      </c>
      <c r="M51" s="32" t="n">
        <v>44471</v>
      </c>
      <c r="N51" s="33" t="n">
        <v>179.98</v>
      </c>
    </row>
    <row r="52" customFormat="false" ht="15" hidden="false" customHeight="true" outlineLevel="0" collapsed="false">
      <c r="A52" s="34" t="s">
        <v>196</v>
      </c>
      <c r="B52" s="35" t="n">
        <v>45459</v>
      </c>
      <c r="C52" s="34" t="s">
        <v>70</v>
      </c>
      <c r="D52" s="34" t="s">
        <v>71</v>
      </c>
      <c r="E52" s="34" t="s">
        <v>102</v>
      </c>
      <c r="F52" s="34" t="s">
        <v>35</v>
      </c>
      <c r="G52" s="34" t="s">
        <v>36</v>
      </c>
      <c r="H52" s="34" t="n">
        <v>5</v>
      </c>
      <c r="I52" s="36" t="n">
        <v>899.99</v>
      </c>
      <c r="J52" s="34" t="s">
        <v>77</v>
      </c>
      <c r="K52" s="34" t="s">
        <v>20</v>
      </c>
      <c r="L52" s="34" t="s">
        <v>19</v>
      </c>
      <c r="M52" s="35" t="n">
        <v>44974</v>
      </c>
      <c r="N52" s="36" t="n">
        <v>4499.95</v>
      </c>
    </row>
    <row r="53" customFormat="false" ht="15" hidden="false" customHeight="true" outlineLevel="0" collapsed="false">
      <c r="A53" s="31" t="s">
        <v>197</v>
      </c>
      <c r="B53" s="32" t="n">
        <v>45459</v>
      </c>
      <c r="C53" s="31" t="s">
        <v>155</v>
      </c>
      <c r="D53" s="31" t="s">
        <v>21</v>
      </c>
      <c r="E53" s="31" t="s">
        <v>102</v>
      </c>
      <c r="F53" s="31" t="s">
        <v>35</v>
      </c>
      <c r="G53" s="31" t="s">
        <v>36</v>
      </c>
      <c r="H53" s="31" t="n">
        <v>5</v>
      </c>
      <c r="I53" s="33" t="n">
        <v>899.99</v>
      </c>
      <c r="J53" s="31" t="s">
        <v>82</v>
      </c>
      <c r="K53" s="31" t="s">
        <v>23</v>
      </c>
      <c r="L53" s="31" t="s">
        <v>22</v>
      </c>
      <c r="M53" s="32" t="n">
        <v>45278</v>
      </c>
      <c r="N53" s="33" t="n">
        <v>4499.95</v>
      </c>
    </row>
    <row r="54" customFormat="false" ht="15" hidden="false" customHeight="true" outlineLevel="0" collapsed="false">
      <c r="A54" s="34" t="s">
        <v>198</v>
      </c>
      <c r="B54" s="35" t="n">
        <v>45460</v>
      </c>
      <c r="C54" s="34" t="s">
        <v>188</v>
      </c>
      <c r="D54" s="34" t="s">
        <v>189</v>
      </c>
      <c r="E54" s="34" t="s">
        <v>81</v>
      </c>
      <c r="F54" s="34" t="s">
        <v>41</v>
      </c>
      <c r="G54" s="34" t="s">
        <v>42</v>
      </c>
      <c r="H54" s="34" t="n">
        <v>1</v>
      </c>
      <c r="I54" s="36" t="n">
        <v>59.99</v>
      </c>
      <c r="J54" s="34" t="s">
        <v>98</v>
      </c>
      <c r="K54" s="34" t="s">
        <v>25</v>
      </c>
      <c r="L54" s="34" t="s">
        <v>22</v>
      </c>
      <c r="M54" s="35" t="n">
        <v>45190</v>
      </c>
      <c r="N54" s="36" t="n">
        <v>59.99</v>
      </c>
    </row>
    <row r="55" customFormat="false" ht="15" hidden="false" customHeight="true" outlineLevel="0" collapsed="false">
      <c r="A55" s="31" t="s">
        <v>199</v>
      </c>
      <c r="B55" s="32" t="n">
        <v>45460</v>
      </c>
      <c r="C55" s="31" t="s">
        <v>171</v>
      </c>
      <c r="D55" s="31" t="s">
        <v>172</v>
      </c>
      <c r="E55" s="31" t="s">
        <v>140</v>
      </c>
      <c r="F55" s="31" t="s">
        <v>46</v>
      </c>
      <c r="G55" s="31" t="s">
        <v>45</v>
      </c>
      <c r="H55" s="31" t="n">
        <v>2</v>
      </c>
      <c r="I55" s="33" t="n">
        <v>299.99</v>
      </c>
      <c r="J55" s="31" t="s">
        <v>98</v>
      </c>
      <c r="K55" s="31" t="s">
        <v>23</v>
      </c>
      <c r="L55" s="31" t="s">
        <v>19</v>
      </c>
      <c r="M55" s="32" t="n">
        <v>45253</v>
      </c>
      <c r="N55" s="33" t="n">
        <v>599.98</v>
      </c>
    </row>
    <row r="56" customFormat="false" ht="15" hidden="false" customHeight="true" outlineLevel="0" collapsed="false">
      <c r="A56" s="34" t="s">
        <v>200</v>
      </c>
      <c r="B56" s="35" t="n">
        <v>45468</v>
      </c>
      <c r="C56" s="34" t="s">
        <v>201</v>
      </c>
      <c r="D56" s="34" t="s">
        <v>202</v>
      </c>
      <c r="E56" s="34" t="s">
        <v>150</v>
      </c>
      <c r="F56" s="34" t="s">
        <v>40</v>
      </c>
      <c r="G56" s="34" t="s">
        <v>36</v>
      </c>
      <c r="H56" s="34" t="n">
        <v>4</v>
      </c>
      <c r="I56" s="36" t="n">
        <v>89.99</v>
      </c>
      <c r="J56" s="34" t="s">
        <v>98</v>
      </c>
      <c r="K56" s="34" t="s">
        <v>20</v>
      </c>
      <c r="L56" s="34" t="s">
        <v>74</v>
      </c>
      <c r="M56" s="35" t="n">
        <v>45281</v>
      </c>
      <c r="N56" s="36" t="n">
        <v>359.96</v>
      </c>
    </row>
    <row r="57" customFormat="false" ht="15" hidden="false" customHeight="true" outlineLevel="0" collapsed="false">
      <c r="A57" s="31" t="s">
        <v>203</v>
      </c>
      <c r="B57" s="32" t="n">
        <v>45469</v>
      </c>
      <c r="C57" s="31" t="s">
        <v>79</v>
      </c>
      <c r="D57" s="31" t="s">
        <v>80</v>
      </c>
      <c r="E57" s="31" t="s">
        <v>148</v>
      </c>
      <c r="F57" s="31" t="s">
        <v>43</v>
      </c>
      <c r="G57" s="31" t="s">
        <v>42</v>
      </c>
      <c r="H57" s="31" t="n">
        <v>1</v>
      </c>
      <c r="I57" s="33" t="n">
        <v>79.99</v>
      </c>
      <c r="J57" s="31" t="s">
        <v>82</v>
      </c>
      <c r="K57" s="31" t="s">
        <v>27</v>
      </c>
      <c r="L57" s="31" t="s">
        <v>22</v>
      </c>
      <c r="M57" s="32" t="n">
        <v>45352</v>
      </c>
      <c r="N57" s="33" t="n">
        <v>79.99</v>
      </c>
    </row>
    <row r="58" customFormat="false" ht="15" hidden="false" customHeight="true" outlineLevel="0" collapsed="false">
      <c r="A58" s="34" t="s">
        <v>204</v>
      </c>
      <c r="B58" s="35" t="n">
        <v>45469</v>
      </c>
      <c r="C58" s="34" t="s">
        <v>100</v>
      </c>
      <c r="D58" s="34" t="s">
        <v>101</v>
      </c>
      <c r="E58" s="34" t="s">
        <v>150</v>
      </c>
      <c r="F58" s="34" t="s">
        <v>40</v>
      </c>
      <c r="G58" s="34" t="s">
        <v>36</v>
      </c>
      <c r="H58" s="34" t="n">
        <v>2</v>
      </c>
      <c r="I58" s="36" t="n">
        <v>89.99</v>
      </c>
      <c r="J58" s="34" t="s">
        <v>73</v>
      </c>
      <c r="K58" s="34" t="s">
        <v>25</v>
      </c>
      <c r="L58" s="34" t="s">
        <v>74</v>
      </c>
      <c r="M58" s="35" t="n">
        <v>44438</v>
      </c>
      <c r="N58" s="36" t="n">
        <v>179.98</v>
      </c>
    </row>
    <row r="59" customFormat="false" ht="15" hidden="false" customHeight="true" outlineLevel="0" collapsed="false">
      <c r="A59" s="31" t="s">
        <v>205</v>
      </c>
      <c r="B59" s="32" t="n">
        <v>45471</v>
      </c>
      <c r="C59" s="31" t="s">
        <v>84</v>
      </c>
      <c r="D59" s="31" t="s">
        <v>85</v>
      </c>
      <c r="E59" s="31" t="s">
        <v>118</v>
      </c>
      <c r="F59" s="31" t="s">
        <v>37</v>
      </c>
      <c r="G59" s="31" t="s">
        <v>36</v>
      </c>
      <c r="H59" s="31" t="n">
        <v>3</v>
      </c>
      <c r="I59" s="33" t="n">
        <v>699.99</v>
      </c>
      <c r="J59" s="31" t="s">
        <v>77</v>
      </c>
      <c r="K59" s="31" t="s">
        <v>23</v>
      </c>
      <c r="L59" s="31" t="s">
        <v>22</v>
      </c>
      <c r="M59" s="32" t="n">
        <v>45102</v>
      </c>
      <c r="N59" s="33" t="n">
        <v>2099.97</v>
      </c>
    </row>
    <row r="60" customFormat="false" ht="15" hidden="false" customHeight="true" outlineLevel="0" collapsed="false">
      <c r="A60" s="34" t="s">
        <v>206</v>
      </c>
      <c r="B60" s="35" t="n">
        <v>45471</v>
      </c>
      <c r="C60" s="34" t="s">
        <v>134</v>
      </c>
      <c r="D60" s="34" t="s">
        <v>135</v>
      </c>
      <c r="E60" s="34" t="s">
        <v>102</v>
      </c>
      <c r="F60" s="34" t="s">
        <v>35</v>
      </c>
      <c r="G60" s="34" t="s">
        <v>36</v>
      </c>
      <c r="H60" s="34" t="n">
        <v>4</v>
      </c>
      <c r="I60" s="36" t="n">
        <v>899.99</v>
      </c>
      <c r="J60" s="34" t="s">
        <v>77</v>
      </c>
      <c r="K60" s="34" t="s">
        <v>23</v>
      </c>
      <c r="L60" s="34" t="s">
        <v>22</v>
      </c>
      <c r="M60" s="35" t="n">
        <v>44993</v>
      </c>
      <c r="N60" s="36" t="n">
        <v>3599.96</v>
      </c>
    </row>
    <row r="61" customFormat="false" ht="15" hidden="false" customHeight="true" outlineLevel="0" collapsed="false">
      <c r="A61" s="31" t="s">
        <v>207</v>
      </c>
      <c r="B61" s="32" t="n">
        <v>45472</v>
      </c>
      <c r="C61" s="31" t="s">
        <v>152</v>
      </c>
      <c r="D61" s="31" t="s">
        <v>153</v>
      </c>
      <c r="E61" s="31" t="s">
        <v>89</v>
      </c>
      <c r="F61" s="31" t="s">
        <v>44</v>
      </c>
      <c r="G61" s="31" t="s">
        <v>45</v>
      </c>
      <c r="H61" s="31" t="n">
        <v>1</v>
      </c>
      <c r="I61" s="33" t="n">
        <v>149.99</v>
      </c>
      <c r="J61" s="31" t="s">
        <v>82</v>
      </c>
      <c r="K61" s="31" t="s">
        <v>23</v>
      </c>
      <c r="L61" s="31" t="s">
        <v>74</v>
      </c>
      <c r="M61" s="32" t="n">
        <v>44851</v>
      </c>
      <c r="N61" s="33" t="n">
        <v>149.99</v>
      </c>
    </row>
    <row r="62" customFormat="false" ht="15" hidden="false" customHeight="true" outlineLevel="0" collapsed="false">
      <c r="A62" s="34" t="s">
        <v>208</v>
      </c>
      <c r="B62" s="35" t="n">
        <v>45474</v>
      </c>
      <c r="C62" s="34" t="s">
        <v>162</v>
      </c>
      <c r="D62" s="34" t="s">
        <v>163</v>
      </c>
      <c r="E62" s="34" t="s">
        <v>150</v>
      </c>
      <c r="F62" s="34" t="s">
        <v>40</v>
      </c>
      <c r="G62" s="34" t="s">
        <v>36</v>
      </c>
      <c r="H62" s="34" t="n">
        <v>2</v>
      </c>
      <c r="I62" s="36" t="n">
        <v>89.99</v>
      </c>
      <c r="J62" s="34" t="s">
        <v>82</v>
      </c>
      <c r="K62" s="34" t="s">
        <v>27</v>
      </c>
      <c r="L62" s="34" t="s">
        <v>22</v>
      </c>
      <c r="M62" s="35" t="n">
        <v>45275</v>
      </c>
      <c r="N62" s="36" t="n">
        <v>179.98</v>
      </c>
    </row>
    <row r="63" customFormat="false" ht="15" hidden="false" customHeight="true" outlineLevel="0" collapsed="false">
      <c r="A63" s="31" t="s">
        <v>209</v>
      </c>
      <c r="B63" s="32" t="n">
        <v>45475</v>
      </c>
      <c r="C63" s="31" t="s">
        <v>96</v>
      </c>
      <c r="D63" s="31" t="s">
        <v>97</v>
      </c>
      <c r="E63" s="31" t="s">
        <v>150</v>
      </c>
      <c r="F63" s="31" t="s">
        <v>40</v>
      </c>
      <c r="G63" s="31" t="s">
        <v>36</v>
      </c>
      <c r="H63" s="31" t="n">
        <v>1</v>
      </c>
      <c r="I63" s="33" t="n">
        <v>89.99</v>
      </c>
      <c r="J63" s="31" t="s">
        <v>82</v>
      </c>
      <c r="K63" s="31" t="s">
        <v>25</v>
      </c>
      <c r="L63" s="31" t="s">
        <v>19</v>
      </c>
      <c r="M63" s="32" t="n">
        <v>44802</v>
      </c>
      <c r="N63" s="33" t="n">
        <v>89.99</v>
      </c>
    </row>
    <row r="64" customFormat="false" ht="15" hidden="false" customHeight="true" outlineLevel="0" collapsed="false">
      <c r="A64" s="34" t="s">
        <v>210</v>
      </c>
      <c r="B64" s="35" t="n">
        <v>45476</v>
      </c>
      <c r="C64" s="34" t="s">
        <v>106</v>
      </c>
      <c r="D64" s="34" t="s">
        <v>107</v>
      </c>
      <c r="E64" s="34" t="s">
        <v>150</v>
      </c>
      <c r="F64" s="34" t="s">
        <v>40</v>
      </c>
      <c r="G64" s="34" t="s">
        <v>36</v>
      </c>
      <c r="H64" s="34" t="n">
        <v>1</v>
      </c>
      <c r="I64" s="36" t="n">
        <v>89.99</v>
      </c>
      <c r="J64" s="34" t="s">
        <v>73</v>
      </c>
      <c r="K64" s="34" t="s">
        <v>20</v>
      </c>
      <c r="L64" s="34" t="s">
        <v>19</v>
      </c>
      <c r="M64" s="35" t="n">
        <v>44611</v>
      </c>
      <c r="N64" s="36" t="n">
        <v>89.99</v>
      </c>
    </row>
    <row r="65" customFormat="false" ht="15" hidden="false" customHeight="true" outlineLevel="0" collapsed="false">
      <c r="A65" s="31" t="s">
        <v>211</v>
      </c>
      <c r="B65" s="32" t="n">
        <v>45476</v>
      </c>
      <c r="C65" s="31" t="s">
        <v>212</v>
      </c>
      <c r="D65" s="31" t="s">
        <v>213</v>
      </c>
      <c r="E65" s="31" t="s">
        <v>148</v>
      </c>
      <c r="F65" s="31" t="s">
        <v>43</v>
      </c>
      <c r="G65" s="31" t="s">
        <v>42</v>
      </c>
      <c r="H65" s="31" t="n">
        <v>5</v>
      </c>
      <c r="I65" s="33" t="n">
        <v>79.99</v>
      </c>
      <c r="J65" s="31" t="s">
        <v>98</v>
      </c>
      <c r="K65" s="31" t="s">
        <v>27</v>
      </c>
      <c r="L65" s="31" t="s">
        <v>74</v>
      </c>
      <c r="M65" s="32" t="n">
        <v>44981</v>
      </c>
      <c r="N65" s="33" t="n">
        <v>399.95</v>
      </c>
    </row>
    <row r="66" customFormat="false" ht="15" hidden="false" customHeight="true" outlineLevel="0" collapsed="false">
      <c r="A66" s="34" t="s">
        <v>214</v>
      </c>
      <c r="B66" s="35" t="n">
        <v>45481</v>
      </c>
      <c r="C66" s="34" t="s">
        <v>215</v>
      </c>
      <c r="D66" s="34" t="s">
        <v>216</v>
      </c>
      <c r="E66" s="34" t="s">
        <v>89</v>
      </c>
      <c r="F66" s="34" t="s">
        <v>44</v>
      </c>
      <c r="G66" s="34" t="s">
        <v>45</v>
      </c>
      <c r="H66" s="34" t="n">
        <v>1</v>
      </c>
      <c r="I66" s="36" t="n">
        <v>149.99</v>
      </c>
      <c r="J66" s="34" t="s">
        <v>82</v>
      </c>
      <c r="K66" s="34" t="s">
        <v>17</v>
      </c>
      <c r="L66" s="34" t="s">
        <v>74</v>
      </c>
      <c r="M66" s="35" t="n">
        <v>44421</v>
      </c>
      <c r="N66" s="36" t="n">
        <v>149.99</v>
      </c>
    </row>
    <row r="67" customFormat="false" ht="15" hidden="false" customHeight="true" outlineLevel="0" collapsed="false">
      <c r="A67" s="31" t="s">
        <v>217</v>
      </c>
      <c r="B67" s="32" t="n">
        <v>45481</v>
      </c>
      <c r="C67" s="31" t="s">
        <v>87</v>
      </c>
      <c r="D67" s="31" t="s">
        <v>88</v>
      </c>
      <c r="E67" s="31" t="s">
        <v>118</v>
      </c>
      <c r="F67" s="31" t="s">
        <v>37</v>
      </c>
      <c r="G67" s="31" t="s">
        <v>36</v>
      </c>
      <c r="H67" s="31" t="n">
        <v>2</v>
      </c>
      <c r="I67" s="33" t="n">
        <v>699.99</v>
      </c>
      <c r="J67" s="31" t="s">
        <v>82</v>
      </c>
      <c r="K67" s="31" t="s">
        <v>23</v>
      </c>
      <c r="L67" s="31" t="s">
        <v>22</v>
      </c>
      <c r="M67" s="32" t="n">
        <v>45389</v>
      </c>
      <c r="N67" s="33" t="n">
        <v>1399.98</v>
      </c>
    </row>
    <row r="68" customFormat="false" ht="15" hidden="false" customHeight="true" outlineLevel="0" collapsed="false">
      <c r="A68" s="34" t="s">
        <v>218</v>
      </c>
      <c r="B68" s="35" t="n">
        <v>45481</v>
      </c>
      <c r="C68" s="34" t="s">
        <v>132</v>
      </c>
      <c r="D68" s="34" t="s">
        <v>26</v>
      </c>
      <c r="E68" s="34" t="s">
        <v>150</v>
      </c>
      <c r="F68" s="34" t="s">
        <v>40</v>
      </c>
      <c r="G68" s="34" t="s">
        <v>36</v>
      </c>
      <c r="H68" s="34" t="n">
        <v>5</v>
      </c>
      <c r="I68" s="36" t="n">
        <v>89.99</v>
      </c>
      <c r="J68" s="34" t="s">
        <v>98</v>
      </c>
      <c r="K68" s="34" t="s">
        <v>17</v>
      </c>
      <c r="L68" s="34" t="s">
        <v>22</v>
      </c>
      <c r="M68" s="35" t="n">
        <v>45161</v>
      </c>
      <c r="N68" s="36" t="n">
        <v>449.95</v>
      </c>
    </row>
    <row r="69" customFormat="false" ht="15" hidden="false" customHeight="true" outlineLevel="0" collapsed="false">
      <c r="A69" s="31" t="s">
        <v>219</v>
      </c>
      <c r="B69" s="32" t="n">
        <v>45482</v>
      </c>
      <c r="C69" s="31" t="s">
        <v>201</v>
      </c>
      <c r="D69" s="31" t="s">
        <v>202</v>
      </c>
      <c r="E69" s="31" t="s">
        <v>81</v>
      </c>
      <c r="F69" s="31" t="s">
        <v>41</v>
      </c>
      <c r="G69" s="31" t="s">
        <v>42</v>
      </c>
      <c r="H69" s="31" t="n">
        <v>4</v>
      </c>
      <c r="I69" s="33" t="n">
        <v>59.99</v>
      </c>
      <c r="J69" s="31" t="s">
        <v>73</v>
      </c>
      <c r="K69" s="31" t="s">
        <v>20</v>
      </c>
      <c r="L69" s="31" t="s">
        <v>19</v>
      </c>
      <c r="M69" s="32" t="n">
        <v>44509</v>
      </c>
      <c r="N69" s="33" t="n">
        <v>239.96</v>
      </c>
    </row>
    <row r="70" customFormat="false" ht="15" hidden="false" customHeight="true" outlineLevel="0" collapsed="false">
      <c r="A70" s="34" t="s">
        <v>220</v>
      </c>
      <c r="B70" s="35" t="n">
        <v>45484</v>
      </c>
      <c r="C70" s="34" t="s">
        <v>76</v>
      </c>
      <c r="D70" s="34" t="s">
        <v>28</v>
      </c>
      <c r="E70" s="34" t="s">
        <v>94</v>
      </c>
      <c r="F70" s="34" t="s">
        <v>38</v>
      </c>
      <c r="G70" s="34" t="s">
        <v>36</v>
      </c>
      <c r="H70" s="34" t="n">
        <v>1</v>
      </c>
      <c r="I70" s="36" t="n">
        <v>149.99</v>
      </c>
      <c r="J70" s="34" t="s">
        <v>73</v>
      </c>
      <c r="K70" s="34" t="s">
        <v>27</v>
      </c>
      <c r="L70" s="34" t="s">
        <v>19</v>
      </c>
      <c r="M70" s="35" t="n">
        <v>44909</v>
      </c>
      <c r="N70" s="36" t="n">
        <v>149.99</v>
      </c>
    </row>
    <row r="71" customFormat="false" ht="15" hidden="false" customHeight="true" outlineLevel="0" collapsed="false">
      <c r="A71" s="31" t="s">
        <v>221</v>
      </c>
      <c r="B71" s="32" t="n">
        <v>45484</v>
      </c>
      <c r="C71" s="31" t="s">
        <v>222</v>
      </c>
      <c r="D71" s="31" t="s">
        <v>223</v>
      </c>
      <c r="E71" s="31" t="s">
        <v>140</v>
      </c>
      <c r="F71" s="31" t="s">
        <v>46</v>
      </c>
      <c r="G71" s="31" t="s">
        <v>45</v>
      </c>
      <c r="H71" s="31" t="n">
        <v>1</v>
      </c>
      <c r="I71" s="33" t="n">
        <v>299.99</v>
      </c>
      <c r="J71" s="31" t="s">
        <v>77</v>
      </c>
      <c r="K71" s="31" t="s">
        <v>17</v>
      </c>
      <c r="L71" s="31" t="s">
        <v>22</v>
      </c>
      <c r="M71" s="32" t="n">
        <v>44891</v>
      </c>
      <c r="N71" s="33" t="n">
        <v>299.99</v>
      </c>
    </row>
    <row r="72" customFormat="false" ht="15" hidden="false" customHeight="true" outlineLevel="0" collapsed="false">
      <c r="A72" s="34" t="s">
        <v>224</v>
      </c>
      <c r="B72" s="35" t="n">
        <v>45487</v>
      </c>
      <c r="C72" s="34" t="s">
        <v>222</v>
      </c>
      <c r="D72" s="34" t="s">
        <v>223</v>
      </c>
      <c r="E72" s="34" t="s">
        <v>157</v>
      </c>
      <c r="F72" s="34" t="s">
        <v>47</v>
      </c>
      <c r="G72" s="34" t="s">
        <v>45</v>
      </c>
      <c r="H72" s="34" t="n">
        <v>2</v>
      </c>
      <c r="I72" s="36" t="n">
        <v>199.99</v>
      </c>
      <c r="J72" s="34" t="s">
        <v>73</v>
      </c>
      <c r="K72" s="34" t="s">
        <v>17</v>
      </c>
      <c r="L72" s="34" t="s">
        <v>74</v>
      </c>
      <c r="M72" s="35" t="n">
        <v>44541</v>
      </c>
      <c r="N72" s="36" t="n">
        <v>399.98</v>
      </c>
    </row>
    <row r="73" customFormat="false" ht="15" hidden="false" customHeight="true" outlineLevel="0" collapsed="false">
      <c r="A73" s="31" t="s">
        <v>225</v>
      </c>
      <c r="B73" s="32" t="n">
        <v>45490</v>
      </c>
      <c r="C73" s="31" t="s">
        <v>226</v>
      </c>
      <c r="D73" s="31" t="s">
        <v>227</v>
      </c>
      <c r="E73" s="31" t="s">
        <v>81</v>
      </c>
      <c r="F73" s="31" t="s">
        <v>41</v>
      </c>
      <c r="G73" s="31" t="s">
        <v>42</v>
      </c>
      <c r="H73" s="31" t="n">
        <v>3</v>
      </c>
      <c r="I73" s="33" t="n">
        <v>59.99</v>
      </c>
      <c r="J73" s="31" t="s">
        <v>77</v>
      </c>
      <c r="K73" s="31" t="s">
        <v>25</v>
      </c>
      <c r="L73" s="31" t="s">
        <v>74</v>
      </c>
      <c r="M73" s="32" t="n">
        <v>45130</v>
      </c>
      <c r="N73" s="33" t="n">
        <v>179.97</v>
      </c>
    </row>
    <row r="74" customFormat="false" ht="15" hidden="false" customHeight="true" outlineLevel="0" collapsed="false">
      <c r="A74" s="34" t="s">
        <v>228</v>
      </c>
      <c r="B74" s="35" t="n">
        <v>45490</v>
      </c>
      <c r="C74" s="34" t="s">
        <v>110</v>
      </c>
      <c r="D74" s="34" t="s">
        <v>111</v>
      </c>
      <c r="E74" s="34" t="s">
        <v>89</v>
      </c>
      <c r="F74" s="34" t="s">
        <v>44</v>
      </c>
      <c r="G74" s="34" t="s">
        <v>45</v>
      </c>
      <c r="H74" s="34" t="n">
        <v>3</v>
      </c>
      <c r="I74" s="36" t="n">
        <v>149.99</v>
      </c>
      <c r="J74" s="34" t="s">
        <v>73</v>
      </c>
      <c r="K74" s="34" t="s">
        <v>27</v>
      </c>
      <c r="L74" s="34" t="s">
        <v>22</v>
      </c>
      <c r="M74" s="35" t="n">
        <v>45199</v>
      </c>
      <c r="N74" s="36" t="n">
        <v>449.97</v>
      </c>
    </row>
    <row r="75" customFormat="false" ht="15" hidden="false" customHeight="true" outlineLevel="0" collapsed="false">
      <c r="A75" s="31" t="s">
        <v>229</v>
      </c>
      <c r="B75" s="32" t="n">
        <v>45491</v>
      </c>
      <c r="C75" s="31" t="s">
        <v>104</v>
      </c>
      <c r="D75" s="31" t="s">
        <v>24</v>
      </c>
      <c r="E75" s="31" t="s">
        <v>157</v>
      </c>
      <c r="F75" s="31" t="s">
        <v>47</v>
      </c>
      <c r="G75" s="31" t="s">
        <v>45</v>
      </c>
      <c r="H75" s="31" t="n">
        <v>3</v>
      </c>
      <c r="I75" s="33" t="n">
        <v>199.99</v>
      </c>
      <c r="J75" s="31" t="s">
        <v>73</v>
      </c>
      <c r="K75" s="31" t="s">
        <v>17</v>
      </c>
      <c r="L75" s="31" t="s">
        <v>22</v>
      </c>
      <c r="M75" s="32" t="n">
        <v>45254</v>
      </c>
      <c r="N75" s="33" t="n">
        <v>599.97</v>
      </c>
    </row>
    <row r="76" customFormat="false" ht="15" hidden="false" customHeight="true" outlineLevel="0" collapsed="false">
      <c r="A76" s="34" t="s">
        <v>230</v>
      </c>
      <c r="B76" s="35" t="n">
        <v>45496</v>
      </c>
      <c r="C76" s="34" t="s">
        <v>180</v>
      </c>
      <c r="D76" s="34" t="s">
        <v>181</v>
      </c>
      <c r="E76" s="34" t="s">
        <v>102</v>
      </c>
      <c r="F76" s="34" t="s">
        <v>35</v>
      </c>
      <c r="G76" s="34" t="s">
        <v>36</v>
      </c>
      <c r="H76" s="34" t="n">
        <v>1</v>
      </c>
      <c r="I76" s="36" t="n">
        <v>899.99</v>
      </c>
      <c r="J76" s="34" t="s">
        <v>73</v>
      </c>
      <c r="K76" s="34" t="s">
        <v>27</v>
      </c>
      <c r="L76" s="34" t="s">
        <v>19</v>
      </c>
      <c r="M76" s="35" t="n">
        <v>45179</v>
      </c>
      <c r="N76" s="36" t="n">
        <v>899.99</v>
      </c>
    </row>
    <row r="77" customFormat="false" ht="15" hidden="false" customHeight="true" outlineLevel="0" collapsed="false">
      <c r="A77" s="31" t="s">
        <v>231</v>
      </c>
      <c r="B77" s="32" t="n">
        <v>45497</v>
      </c>
      <c r="C77" s="31" t="s">
        <v>76</v>
      </c>
      <c r="D77" s="31" t="s">
        <v>28</v>
      </c>
      <c r="E77" s="31" t="s">
        <v>102</v>
      </c>
      <c r="F77" s="31" t="s">
        <v>35</v>
      </c>
      <c r="G77" s="31" t="s">
        <v>36</v>
      </c>
      <c r="H77" s="31" t="n">
        <v>5</v>
      </c>
      <c r="I77" s="33" t="n">
        <v>899.99</v>
      </c>
      <c r="J77" s="31" t="s">
        <v>98</v>
      </c>
      <c r="K77" s="31" t="s">
        <v>20</v>
      </c>
      <c r="L77" s="31" t="s">
        <v>19</v>
      </c>
      <c r="M77" s="32" t="n">
        <v>44899</v>
      </c>
      <c r="N77" s="33" t="n">
        <v>4499.95</v>
      </c>
    </row>
    <row r="78" customFormat="false" ht="15" hidden="false" customHeight="true" outlineLevel="0" collapsed="false">
      <c r="A78" s="34" t="s">
        <v>232</v>
      </c>
      <c r="B78" s="35" t="n">
        <v>45498</v>
      </c>
      <c r="C78" s="34" t="s">
        <v>212</v>
      </c>
      <c r="D78" s="34" t="s">
        <v>213</v>
      </c>
      <c r="E78" s="34" t="s">
        <v>81</v>
      </c>
      <c r="F78" s="34" t="s">
        <v>41</v>
      </c>
      <c r="G78" s="34" t="s">
        <v>42</v>
      </c>
      <c r="H78" s="34" t="n">
        <v>2</v>
      </c>
      <c r="I78" s="36" t="n">
        <v>59.99</v>
      </c>
      <c r="J78" s="34" t="s">
        <v>73</v>
      </c>
      <c r="K78" s="34" t="s">
        <v>17</v>
      </c>
      <c r="L78" s="34" t="s">
        <v>19</v>
      </c>
      <c r="M78" s="35" t="n">
        <v>45152</v>
      </c>
      <c r="N78" s="36" t="n">
        <v>119.98</v>
      </c>
    </row>
    <row r="79" customFormat="false" ht="15" hidden="false" customHeight="true" outlineLevel="0" collapsed="false">
      <c r="A79" s="31" t="s">
        <v>233</v>
      </c>
      <c r="B79" s="32" t="n">
        <v>45498</v>
      </c>
      <c r="C79" s="31" t="s">
        <v>226</v>
      </c>
      <c r="D79" s="31" t="s">
        <v>227</v>
      </c>
      <c r="E79" s="31" t="s">
        <v>72</v>
      </c>
      <c r="F79" s="31" t="s">
        <v>39</v>
      </c>
      <c r="G79" s="31" t="s">
        <v>36</v>
      </c>
      <c r="H79" s="31" t="n">
        <v>4</v>
      </c>
      <c r="I79" s="33" t="n">
        <v>249.99</v>
      </c>
      <c r="J79" s="31" t="s">
        <v>98</v>
      </c>
      <c r="K79" s="31" t="s">
        <v>27</v>
      </c>
      <c r="L79" s="31" t="s">
        <v>19</v>
      </c>
      <c r="M79" s="32" t="n">
        <v>45127</v>
      </c>
      <c r="N79" s="33" t="n">
        <v>999.96</v>
      </c>
    </row>
    <row r="80" customFormat="false" ht="15" hidden="false" customHeight="true" outlineLevel="0" collapsed="false">
      <c r="A80" s="34" t="s">
        <v>234</v>
      </c>
      <c r="B80" s="35" t="n">
        <v>45500</v>
      </c>
      <c r="C80" s="34" t="s">
        <v>132</v>
      </c>
      <c r="D80" s="34" t="s">
        <v>26</v>
      </c>
      <c r="E80" s="34" t="s">
        <v>72</v>
      </c>
      <c r="F80" s="34" t="s">
        <v>39</v>
      </c>
      <c r="G80" s="34" t="s">
        <v>36</v>
      </c>
      <c r="H80" s="34" t="n">
        <v>2</v>
      </c>
      <c r="I80" s="36" t="n">
        <v>249.99</v>
      </c>
      <c r="J80" s="34" t="s">
        <v>73</v>
      </c>
      <c r="K80" s="34" t="s">
        <v>17</v>
      </c>
      <c r="L80" s="34" t="s">
        <v>22</v>
      </c>
      <c r="M80" s="35" t="n">
        <v>45164</v>
      </c>
      <c r="N80" s="36" t="n">
        <v>499.98</v>
      </c>
    </row>
    <row r="81" customFormat="false" ht="15" hidden="false" customHeight="true" outlineLevel="0" collapsed="false">
      <c r="A81" s="31" t="s">
        <v>235</v>
      </c>
      <c r="B81" s="32" t="n">
        <v>45500</v>
      </c>
      <c r="C81" s="31" t="s">
        <v>177</v>
      </c>
      <c r="D81" s="31" t="s">
        <v>178</v>
      </c>
      <c r="E81" s="31" t="s">
        <v>140</v>
      </c>
      <c r="F81" s="31" t="s">
        <v>46</v>
      </c>
      <c r="G81" s="31" t="s">
        <v>45</v>
      </c>
      <c r="H81" s="31" t="n">
        <v>1</v>
      </c>
      <c r="I81" s="33" t="n">
        <v>299.99</v>
      </c>
      <c r="J81" s="31" t="s">
        <v>73</v>
      </c>
      <c r="K81" s="31" t="s">
        <v>20</v>
      </c>
      <c r="L81" s="31" t="s">
        <v>74</v>
      </c>
      <c r="M81" s="32" t="n">
        <v>44982</v>
      </c>
      <c r="N81" s="33" t="n">
        <v>299.99</v>
      </c>
    </row>
    <row r="82" customFormat="false" ht="15" hidden="false" customHeight="true" outlineLevel="0" collapsed="false">
      <c r="A82" s="34" t="s">
        <v>236</v>
      </c>
      <c r="B82" s="35" t="n">
        <v>45501</v>
      </c>
      <c r="C82" s="34" t="s">
        <v>123</v>
      </c>
      <c r="D82" s="34" t="s">
        <v>18</v>
      </c>
      <c r="E82" s="34" t="s">
        <v>150</v>
      </c>
      <c r="F82" s="34" t="s">
        <v>40</v>
      </c>
      <c r="G82" s="34" t="s">
        <v>36</v>
      </c>
      <c r="H82" s="34" t="n">
        <v>2</v>
      </c>
      <c r="I82" s="36" t="n">
        <v>89.99</v>
      </c>
      <c r="J82" s="34" t="s">
        <v>82</v>
      </c>
      <c r="K82" s="34" t="s">
        <v>20</v>
      </c>
      <c r="L82" s="34" t="s">
        <v>74</v>
      </c>
      <c r="M82" s="35" t="n">
        <v>44976</v>
      </c>
      <c r="N82" s="36" t="n">
        <v>179.98</v>
      </c>
    </row>
    <row r="83" customFormat="false" ht="15" hidden="false" customHeight="true" outlineLevel="0" collapsed="false">
      <c r="A83" s="31" t="s">
        <v>237</v>
      </c>
      <c r="B83" s="32" t="n">
        <v>45501</v>
      </c>
      <c r="C83" s="31" t="s">
        <v>177</v>
      </c>
      <c r="D83" s="31" t="s">
        <v>178</v>
      </c>
      <c r="E83" s="31" t="s">
        <v>140</v>
      </c>
      <c r="F83" s="31" t="s">
        <v>46</v>
      </c>
      <c r="G83" s="31" t="s">
        <v>45</v>
      </c>
      <c r="H83" s="31" t="n">
        <v>3</v>
      </c>
      <c r="I83" s="33" t="n">
        <v>299.99</v>
      </c>
      <c r="J83" s="31" t="s">
        <v>73</v>
      </c>
      <c r="K83" s="31" t="s">
        <v>27</v>
      </c>
      <c r="L83" s="31" t="s">
        <v>74</v>
      </c>
      <c r="M83" s="32" t="n">
        <v>44732</v>
      </c>
      <c r="N83" s="33" t="n">
        <v>899.97</v>
      </c>
    </row>
    <row r="84" customFormat="false" ht="15" hidden="false" customHeight="true" outlineLevel="0" collapsed="false">
      <c r="A84" s="34" t="s">
        <v>238</v>
      </c>
      <c r="B84" s="35" t="n">
        <v>45503</v>
      </c>
      <c r="C84" s="34" t="s">
        <v>123</v>
      </c>
      <c r="D84" s="34" t="s">
        <v>18</v>
      </c>
      <c r="E84" s="34" t="s">
        <v>118</v>
      </c>
      <c r="F84" s="34" t="s">
        <v>37</v>
      </c>
      <c r="G84" s="34" t="s">
        <v>36</v>
      </c>
      <c r="H84" s="34" t="n">
        <v>2</v>
      </c>
      <c r="I84" s="36" t="n">
        <v>699.99</v>
      </c>
      <c r="J84" s="34" t="s">
        <v>77</v>
      </c>
      <c r="K84" s="34" t="s">
        <v>17</v>
      </c>
      <c r="L84" s="34" t="s">
        <v>22</v>
      </c>
      <c r="M84" s="35" t="n">
        <v>44999</v>
      </c>
      <c r="N84" s="36" t="n">
        <v>1399.98</v>
      </c>
    </row>
    <row r="85" customFormat="false" ht="15" hidden="false" customHeight="true" outlineLevel="0" collapsed="false">
      <c r="A85" s="31" t="s">
        <v>239</v>
      </c>
      <c r="B85" s="32" t="n">
        <v>45504</v>
      </c>
      <c r="C85" s="31" t="s">
        <v>152</v>
      </c>
      <c r="D85" s="31" t="s">
        <v>153</v>
      </c>
      <c r="E85" s="31" t="s">
        <v>102</v>
      </c>
      <c r="F85" s="31" t="s">
        <v>35</v>
      </c>
      <c r="G85" s="31" t="s">
        <v>36</v>
      </c>
      <c r="H85" s="31" t="n">
        <v>4</v>
      </c>
      <c r="I85" s="33" t="n">
        <v>899.99</v>
      </c>
      <c r="J85" s="31" t="s">
        <v>98</v>
      </c>
      <c r="K85" s="31" t="s">
        <v>20</v>
      </c>
      <c r="L85" s="31" t="s">
        <v>19</v>
      </c>
      <c r="M85" s="32" t="n">
        <v>44523</v>
      </c>
      <c r="N85" s="33" t="n">
        <v>3599.96</v>
      </c>
    </row>
    <row r="86" customFormat="false" ht="15" hidden="false" customHeight="true" outlineLevel="0" collapsed="false">
      <c r="A86" s="34" t="s">
        <v>240</v>
      </c>
      <c r="B86" s="35" t="n">
        <v>45509</v>
      </c>
      <c r="C86" s="34" t="s">
        <v>241</v>
      </c>
      <c r="D86" s="34" t="s">
        <v>242</v>
      </c>
      <c r="E86" s="34" t="s">
        <v>89</v>
      </c>
      <c r="F86" s="34" t="s">
        <v>44</v>
      </c>
      <c r="G86" s="34" t="s">
        <v>45</v>
      </c>
      <c r="H86" s="34" t="n">
        <v>2</v>
      </c>
      <c r="I86" s="36" t="n">
        <v>149.99</v>
      </c>
      <c r="J86" s="34" t="s">
        <v>77</v>
      </c>
      <c r="K86" s="34" t="s">
        <v>25</v>
      </c>
      <c r="L86" s="34" t="s">
        <v>74</v>
      </c>
      <c r="M86" s="35" t="n">
        <v>44542</v>
      </c>
      <c r="N86" s="36" t="n">
        <v>299.98</v>
      </c>
    </row>
    <row r="87" customFormat="false" ht="15" hidden="false" customHeight="true" outlineLevel="0" collapsed="false">
      <c r="A87" s="31" t="s">
        <v>243</v>
      </c>
      <c r="B87" s="32" t="n">
        <v>45510</v>
      </c>
      <c r="C87" s="31" t="s">
        <v>137</v>
      </c>
      <c r="D87" s="31" t="s">
        <v>138</v>
      </c>
      <c r="E87" s="31" t="s">
        <v>89</v>
      </c>
      <c r="F87" s="31" t="s">
        <v>44</v>
      </c>
      <c r="G87" s="31" t="s">
        <v>45</v>
      </c>
      <c r="H87" s="31" t="n">
        <v>2</v>
      </c>
      <c r="I87" s="33" t="n">
        <v>149.99</v>
      </c>
      <c r="J87" s="31" t="s">
        <v>98</v>
      </c>
      <c r="K87" s="31" t="s">
        <v>23</v>
      </c>
      <c r="L87" s="31" t="s">
        <v>19</v>
      </c>
      <c r="M87" s="32" t="n">
        <v>44667</v>
      </c>
      <c r="N87" s="33" t="n">
        <v>299.98</v>
      </c>
    </row>
    <row r="88" customFormat="false" ht="15" hidden="false" customHeight="true" outlineLevel="0" collapsed="false">
      <c r="A88" s="34" t="s">
        <v>244</v>
      </c>
      <c r="B88" s="35" t="n">
        <v>45513</v>
      </c>
      <c r="C88" s="34" t="s">
        <v>125</v>
      </c>
      <c r="D88" s="34" t="s">
        <v>126</v>
      </c>
      <c r="E88" s="34" t="s">
        <v>150</v>
      </c>
      <c r="F88" s="34" t="s">
        <v>40</v>
      </c>
      <c r="G88" s="34" t="s">
        <v>36</v>
      </c>
      <c r="H88" s="34" t="n">
        <v>1</v>
      </c>
      <c r="I88" s="36" t="n">
        <v>89.99</v>
      </c>
      <c r="J88" s="34" t="s">
        <v>77</v>
      </c>
      <c r="K88" s="34" t="s">
        <v>17</v>
      </c>
      <c r="L88" s="34" t="s">
        <v>19</v>
      </c>
      <c r="M88" s="35" t="n">
        <v>45393</v>
      </c>
      <c r="N88" s="36" t="n">
        <v>89.99</v>
      </c>
    </row>
    <row r="89" customFormat="false" ht="15" hidden="false" customHeight="true" outlineLevel="0" collapsed="false">
      <c r="A89" s="31" t="s">
        <v>245</v>
      </c>
      <c r="B89" s="32" t="n">
        <v>45515</v>
      </c>
      <c r="C89" s="31" t="s">
        <v>123</v>
      </c>
      <c r="D89" s="31" t="s">
        <v>18</v>
      </c>
      <c r="E89" s="31" t="s">
        <v>140</v>
      </c>
      <c r="F89" s="31" t="s">
        <v>46</v>
      </c>
      <c r="G89" s="31" t="s">
        <v>45</v>
      </c>
      <c r="H89" s="31" t="n">
        <v>5</v>
      </c>
      <c r="I89" s="33" t="n">
        <v>299.99</v>
      </c>
      <c r="J89" s="31" t="s">
        <v>77</v>
      </c>
      <c r="K89" s="31" t="s">
        <v>17</v>
      </c>
      <c r="L89" s="31" t="s">
        <v>74</v>
      </c>
      <c r="M89" s="32" t="n">
        <v>44965</v>
      </c>
      <c r="N89" s="33" t="n">
        <v>1499.95</v>
      </c>
    </row>
    <row r="90" customFormat="false" ht="15" hidden="false" customHeight="true" outlineLevel="0" collapsed="false">
      <c r="A90" s="34" t="s">
        <v>246</v>
      </c>
      <c r="B90" s="35" t="n">
        <v>45517</v>
      </c>
      <c r="C90" s="34" t="s">
        <v>212</v>
      </c>
      <c r="D90" s="34" t="s">
        <v>213</v>
      </c>
      <c r="E90" s="34" t="s">
        <v>94</v>
      </c>
      <c r="F90" s="34" t="s">
        <v>38</v>
      </c>
      <c r="G90" s="34" t="s">
        <v>36</v>
      </c>
      <c r="H90" s="34" t="n">
        <v>4</v>
      </c>
      <c r="I90" s="36" t="n">
        <v>149.99</v>
      </c>
      <c r="J90" s="34" t="s">
        <v>98</v>
      </c>
      <c r="K90" s="34" t="s">
        <v>20</v>
      </c>
      <c r="L90" s="34" t="s">
        <v>22</v>
      </c>
      <c r="M90" s="35" t="n">
        <v>44820</v>
      </c>
      <c r="N90" s="36" t="n">
        <v>599.96</v>
      </c>
    </row>
    <row r="91" customFormat="false" ht="15" hidden="false" customHeight="true" outlineLevel="0" collapsed="false">
      <c r="A91" s="31" t="s">
        <v>247</v>
      </c>
      <c r="B91" s="32" t="n">
        <v>45517</v>
      </c>
      <c r="C91" s="31" t="s">
        <v>215</v>
      </c>
      <c r="D91" s="31" t="s">
        <v>216</v>
      </c>
      <c r="E91" s="31" t="s">
        <v>72</v>
      </c>
      <c r="F91" s="31" t="s">
        <v>39</v>
      </c>
      <c r="G91" s="31" t="s">
        <v>36</v>
      </c>
      <c r="H91" s="31" t="n">
        <v>5</v>
      </c>
      <c r="I91" s="33" t="n">
        <v>249.99</v>
      </c>
      <c r="J91" s="31" t="s">
        <v>82</v>
      </c>
      <c r="K91" s="31" t="s">
        <v>23</v>
      </c>
      <c r="L91" s="31" t="s">
        <v>22</v>
      </c>
      <c r="M91" s="32" t="n">
        <v>44782</v>
      </c>
      <c r="N91" s="33" t="n">
        <v>1249.95</v>
      </c>
    </row>
    <row r="92" customFormat="false" ht="15" hidden="false" customHeight="true" outlineLevel="0" collapsed="false">
      <c r="A92" s="34" t="s">
        <v>248</v>
      </c>
      <c r="B92" s="35" t="n">
        <v>45517</v>
      </c>
      <c r="C92" s="34" t="s">
        <v>104</v>
      </c>
      <c r="D92" s="34" t="s">
        <v>24</v>
      </c>
      <c r="E92" s="34" t="s">
        <v>72</v>
      </c>
      <c r="F92" s="34" t="s">
        <v>39</v>
      </c>
      <c r="G92" s="34" t="s">
        <v>36</v>
      </c>
      <c r="H92" s="34" t="n">
        <v>3</v>
      </c>
      <c r="I92" s="36" t="n">
        <v>249.99</v>
      </c>
      <c r="J92" s="34" t="s">
        <v>82</v>
      </c>
      <c r="K92" s="34" t="s">
        <v>17</v>
      </c>
      <c r="L92" s="34" t="s">
        <v>22</v>
      </c>
      <c r="M92" s="35" t="n">
        <v>44465</v>
      </c>
      <c r="N92" s="36" t="n">
        <v>749.97</v>
      </c>
    </row>
    <row r="93" customFormat="false" ht="15" hidden="false" customHeight="true" outlineLevel="0" collapsed="false">
      <c r="A93" s="31" t="s">
        <v>249</v>
      </c>
      <c r="B93" s="32" t="n">
        <v>45517</v>
      </c>
      <c r="C93" s="31" t="s">
        <v>84</v>
      </c>
      <c r="D93" s="31" t="s">
        <v>85</v>
      </c>
      <c r="E93" s="31" t="s">
        <v>157</v>
      </c>
      <c r="F93" s="31" t="s">
        <v>47</v>
      </c>
      <c r="G93" s="31" t="s">
        <v>45</v>
      </c>
      <c r="H93" s="31" t="n">
        <v>4</v>
      </c>
      <c r="I93" s="33" t="n">
        <v>199.99</v>
      </c>
      <c r="J93" s="31" t="s">
        <v>73</v>
      </c>
      <c r="K93" s="31" t="s">
        <v>17</v>
      </c>
      <c r="L93" s="31" t="s">
        <v>19</v>
      </c>
      <c r="M93" s="32" t="n">
        <v>44458</v>
      </c>
      <c r="N93" s="33" t="n">
        <v>799.96</v>
      </c>
    </row>
    <row r="94" customFormat="false" ht="15" hidden="false" customHeight="true" outlineLevel="0" collapsed="false">
      <c r="A94" s="34" t="s">
        <v>250</v>
      </c>
      <c r="B94" s="35" t="n">
        <v>45519</v>
      </c>
      <c r="C94" s="34" t="s">
        <v>188</v>
      </c>
      <c r="D94" s="34" t="s">
        <v>189</v>
      </c>
      <c r="E94" s="34" t="s">
        <v>157</v>
      </c>
      <c r="F94" s="34" t="s">
        <v>47</v>
      </c>
      <c r="G94" s="34" t="s">
        <v>45</v>
      </c>
      <c r="H94" s="34" t="n">
        <v>5</v>
      </c>
      <c r="I94" s="36" t="n">
        <v>199.99</v>
      </c>
      <c r="J94" s="34" t="s">
        <v>73</v>
      </c>
      <c r="K94" s="34" t="s">
        <v>17</v>
      </c>
      <c r="L94" s="34" t="s">
        <v>22</v>
      </c>
      <c r="M94" s="35" t="n">
        <v>44991</v>
      </c>
      <c r="N94" s="36" t="n">
        <v>999.95</v>
      </c>
    </row>
    <row r="95" customFormat="false" ht="15" hidden="false" customHeight="true" outlineLevel="0" collapsed="false">
      <c r="A95" s="31" t="s">
        <v>251</v>
      </c>
      <c r="B95" s="32" t="n">
        <v>45522</v>
      </c>
      <c r="C95" s="31" t="s">
        <v>123</v>
      </c>
      <c r="D95" s="31" t="s">
        <v>18</v>
      </c>
      <c r="E95" s="31" t="s">
        <v>150</v>
      </c>
      <c r="F95" s="31" t="s">
        <v>40</v>
      </c>
      <c r="G95" s="31" t="s">
        <v>36</v>
      </c>
      <c r="H95" s="31" t="n">
        <v>2</v>
      </c>
      <c r="I95" s="33" t="n">
        <v>89.99</v>
      </c>
      <c r="J95" s="31" t="s">
        <v>73</v>
      </c>
      <c r="K95" s="31" t="s">
        <v>23</v>
      </c>
      <c r="L95" s="31" t="s">
        <v>22</v>
      </c>
      <c r="M95" s="32" t="n">
        <v>44972</v>
      </c>
      <c r="N95" s="33" t="n">
        <v>179.98</v>
      </c>
    </row>
    <row r="96" customFormat="false" ht="15" hidden="false" customHeight="true" outlineLevel="0" collapsed="false">
      <c r="A96" s="34" t="s">
        <v>252</v>
      </c>
      <c r="B96" s="35" t="n">
        <v>45523</v>
      </c>
      <c r="C96" s="34" t="s">
        <v>226</v>
      </c>
      <c r="D96" s="34" t="s">
        <v>227</v>
      </c>
      <c r="E96" s="34" t="s">
        <v>102</v>
      </c>
      <c r="F96" s="34" t="s">
        <v>35</v>
      </c>
      <c r="G96" s="34" t="s">
        <v>36</v>
      </c>
      <c r="H96" s="34" t="n">
        <v>5</v>
      </c>
      <c r="I96" s="36" t="n">
        <v>899.99</v>
      </c>
      <c r="J96" s="34" t="s">
        <v>98</v>
      </c>
      <c r="K96" s="34" t="s">
        <v>23</v>
      </c>
      <c r="L96" s="34" t="s">
        <v>74</v>
      </c>
      <c r="M96" s="35" t="n">
        <v>44526</v>
      </c>
      <c r="N96" s="36" t="n">
        <v>4499.95</v>
      </c>
    </row>
    <row r="97" customFormat="false" ht="15" hidden="false" customHeight="true" outlineLevel="0" collapsed="false">
      <c r="A97" s="31" t="s">
        <v>253</v>
      </c>
      <c r="B97" s="32" t="n">
        <v>45523</v>
      </c>
      <c r="C97" s="31" t="s">
        <v>142</v>
      </c>
      <c r="D97" s="31" t="s">
        <v>143</v>
      </c>
      <c r="E97" s="31" t="s">
        <v>94</v>
      </c>
      <c r="F97" s="31" t="s">
        <v>38</v>
      </c>
      <c r="G97" s="31" t="s">
        <v>36</v>
      </c>
      <c r="H97" s="31" t="n">
        <v>3</v>
      </c>
      <c r="I97" s="33" t="n">
        <v>149.99</v>
      </c>
      <c r="J97" s="31" t="s">
        <v>82</v>
      </c>
      <c r="K97" s="31" t="s">
        <v>23</v>
      </c>
      <c r="L97" s="31" t="s">
        <v>74</v>
      </c>
      <c r="M97" s="32" t="n">
        <v>44574</v>
      </c>
      <c r="N97" s="33" t="n">
        <v>449.97</v>
      </c>
    </row>
    <row r="98" customFormat="false" ht="15" hidden="false" customHeight="true" outlineLevel="0" collapsed="false">
      <c r="A98" s="34" t="s">
        <v>254</v>
      </c>
      <c r="B98" s="35" t="n">
        <v>45526</v>
      </c>
      <c r="C98" s="34" t="s">
        <v>137</v>
      </c>
      <c r="D98" s="34" t="s">
        <v>138</v>
      </c>
      <c r="E98" s="34" t="s">
        <v>89</v>
      </c>
      <c r="F98" s="34" t="s">
        <v>44</v>
      </c>
      <c r="G98" s="34" t="s">
        <v>45</v>
      </c>
      <c r="H98" s="34" t="n">
        <v>5</v>
      </c>
      <c r="I98" s="36" t="n">
        <v>149.99</v>
      </c>
      <c r="J98" s="34" t="s">
        <v>77</v>
      </c>
      <c r="K98" s="34" t="s">
        <v>27</v>
      </c>
      <c r="L98" s="34" t="s">
        <v>74</v>
      </c>
      <c r="M98" s="35" t="n">
        <v>45310</v>
      </c>
      <c r="N98" s="36" t="n">
        <v>749.95</v>
      </c>
    </row>
    <row r="99" customFormat="false" ht="15" hidden="false" customHeight="true" outlineLevel="0" collapsed="false">
      <c r="A99" s="31" t="s">
        <v>255</v>
      </c>
      <c r="B99" s="32" t="n">
        <v>45528</v>
      </c>
      <c r="C99" s="31" t="s">
        <v>256</v>
      </c>
      <c r="D99" s="31" t="s">
        <v>257</v>
      </c>
      <c r="E99" s="31" t="s">
        <v>148</v>
      </c>
      <c r="F99" s="31" t="s">
        <v>43</v>
      </c>
      <c r="G99" s="31" t="s">
        <v>42</v>
      </c>
      <c r="H99" s="31" t="n">
        <v>3</v>
      </c>
      <c r="I99" s="33" t="n">
        <v>79.99</v>
      </c>
      <c r="J99" s="31" t="s">
        <v>73</v>
      </c>
      <c r="K99" s="31" t="s">
        <v>27</v>
      </c>
      <c r="L99" s="31" t="s">
        <v>22</v>
      </c>
      <c r="M99" s="32" t="n">
        <v>44779</v>
      </c>
      <c r="N99" s="33" t="n">
        <v>239.97</v>
      </c>
    </row>
    <row r="100" customFormat="false" ht="15" hidden="false" customHeight="true" outlineLevel="0" collapsed="false">
      <c r="A100" s="34" t="s">
        <v>258</v>
      </c>
      <c r="B100" s="35" t="n">
        <v>45528</v>
      </c>
      <c r="C100" s="34" t="s">
        <v>174</v>
      </c>
      <c r="D100" s="34" t="s">
        <v>175</v>
      </c>
      <c r="E100" s="34" t="s">
        <v>72</v>
      </c>
      <c r="F100" s="34" t="s">
        <v>39</v>
      </c>
      <c r="G100" s="34" t="s">
        <v>36</v>
      </c>
      <c r="H100" s="34" t="n">
        <v>2</v>
      </c>
      <c r="I100" s="36" t="n">
        <v>249.99</v>
      </c>
      <c r="J100" s="34" t="s">
        <v>73</v>
      </c>
      <c r="K100" s="34" t="s">
        <v>20</v>
      </c>
      <c r="L100" s="34" t="s">
        <v>19</v>
      </c>
      <c r="M100" s="35" t="n">
        <v>44572</v>
      </c>
      <c r="N100" s="36" t="n">
        <v>499.98</v>
      </c>
    </row>
    <row r="101" customFormat="false" ht="15" hidden="false" customHeight="true" outlineLevel="0" collapsed="false">
      <c r="A101" s="31" t="s">
        <v>259</v>
      </c>
      <c r="B101" s="32" t="n">
        <v>45532</v>
      </c>
      <c r="C101" s="31" t="s">
        <v>226</v>
      </c>
      <c r="D101" s="31" t="s">
        <v>227</v>
      </c>
      <c r="E101" s="31" t="s">
        <v>118</v>
      </c>
      <c r="F101" s="31" t="s">
        <v>37</v>
      </c>
      <c r="G101" s="31" t="s">
        <v>36</v>
      </c>
      <c r="H101" s="31" t="n">
        <v>1</v>
      </c>
      <c r="I101" s="33" t="n">
        <v>699.99</v>
      </c>
      <c r="J101" s="31" t="s">
        <v>73</v>
      </c>
      <c r="K101" s="31" t="s">
        <v>27</v>
      </c>
      <c r="L101" s="31" t="s">
        <v>22</v>
      </c>
      <c r="M101" s="32" t="n">
        <v>44497</v>
      </c>
      <c r="N101" s="33" t="n">
        <v>699.99</v>
      </c>
    </row>
    <row r="102" customFormat="false" ht="15" hidden="false" customHeight="true" outlineLevel="0" collapsed="false">
      <c r="A102" s="34" t="s">
        <v>260</v>
      </c>
      <c r="B102" s="35" t="n">
        <v>45532</v>
      </c>
      <c r="C102" s="34" t="s">
        <v>261</v>
      </c>
      <c r="D102" s="34" t="s">
        <v>262</v>
      </c>
      <c r="E102" s="34" t="s">
        <v>94</v>
      </c>
      <c r="F102" s="34" t="s">
        <v>38</v>
      </c>
      <c r="G102" s="34" t="s">
        <v>36</v>
      </c>
      <c r="H102" s="34" t="n">
        <v>3</v>
      </c>
      <c r="I102" s="36" t="n">
        <v>149.99</v>
      </c>
      <c r="J102" s="34" t="s">
        <v>73</v>
      </c>
      <c r="K102" s="34" t="s">
        <v>25</v>
      </c>
      <c r="L102" s="34" t="s">
        <v>22</v>
      </c>
      <c r="M102" s="35" t="n">
        <v>45212</v>
      </c>
      <c r="N102" s="36" t="n">
        <v>449.97</v>
      </c>
    </row>
    <row r="103" customFormat="false" ht="15" hidden="false" customHeight="true" outlineLevel="0" collapsed="false">
      <c r="A103" s="31" t="s">
        <v>263</v>
      </c>
      <c r="B103" s="32" t="n">
        <v>45534</v>
      </c>
      <c r="C103" s="31" t="s">
        <v>264</v>
      </c>
      <c r="D103" s="31" t="s">
        <v>265</v>
      </c>
      <c r="E103" s="31" t="s">
        <v>118</v>
      </c>
      <c r="F103" s="31" t="s">
        <v>37</v>
      </c>
      <c r="G103" s="31" t="s">
        <v>36</v>
      </c>
      <c r="H103" s="31" t="n">
        <v>2</v>
      </c>
      <c r="I103" s="33" t="n">
        <v>699.99</v>
      </c>
      <c r="J103" s="31" t="s">
        <v>77</v>
      </c>
      <c r="K103" s="31" t="s">
        <v>17</v>
      </c>
      <c r="L103" s="31" t="s">
        <v>22</v>
      </c>
      <c r="M103" s="32" t="n">
        <v>44421</v>
      </c>
      <c r="N103" s="33" t="n">
        <v>1399.98</v>
      </c>
    </row>
    <row r="104" customFormat="false" ht="15" hidden="false" customHeight="true" outlineLevel="0" collapsed="false">
      <c r="A104" s="34" t="s">
        <v>266</v>
      </c>
      <c r="B104" s="35" t="n">
        <v>45537</v>
      </c>
      <c r="C104" s="34" t="s">
        <v>261</v>
      </c>
      <c r="D104" s="34" t="s">
        <v>262</v>
      </c>
      <c r="E104" s="34" t="s">
        <v>72</v>
      </c>
      <c r="F104" s="34" t="s">
        <v>39</v>
      </c>
      <c r="G104" s="34" t="s">
        <v>36</v>
      </c>
      <c r="H104" s="34" t="n">
        <v>1</v>
      </c>
      <c r="I104" s="36" t="n">
        <v>249.99</v>
      </c>
      <c r="J104" s="34" t="s">
        <v>77</v>
      </c>
      <c r="K104" s="34" t="s">
        <v>25</v>
      </c>
      <c r="L104" s="34" t="s">
        <v>22</v>
      </c>
      <c r="M104" s="35" t="n">
        <v>44685</v>
      </c>
      <c r="N104" s="36" t="n">
        <v>249.99</v>
      </c>
    </row>
    <row r="105" customFormat="false" ht="15" hidden="false" customHeight="true" outlineLevel="0" collapsed="false">
      <c r="A105" s="31" t="s">
        <v>267</v>
      </c>
      <c r="B105" s="32" t="n">
        <v>45537</v>
      </c>
      <c r="C105" s="31" t="s">
        <v>70</v>
      </c>
      <c r="D105" s="31" t="s">
        <v>71</v>
      </c>
      <c r="E105" s="31" t="s">
        <v>72</v>
      </c>
      <c r="F105" s="31" t="s">
        <v>39</v>
      </c>
      <c r="G105" s="31" t="s">
        <v>36</v>
      </c>
      <c r="H105" s="31" t="n">
        <v>1</v>
      </c>
      <c r="I105" s="33" t="n">
        <v>249.99</v>
      </c>
      <c r="J105" s="31" t="s">
        <v>98</v>
      </c>
      <c r="K105" s="31" t="s">
        <v>17</v>
      </c>
      <c r="L105" s="31" t="s">
        <v>22</v>
      </c>
      <c r="M105" s="32" t="n">
        <v>45332</v>
      </c>
      <c r="N105" s="33" t="n">
        <v>249.99</v>
      </c>
    </row>
    <row r="106" customFormat="false" ht="15" hidden="false" customHeight="true" outlineLevel="0" collapsed="false">
      <c r="A106" s="34" t="s">
        <v>268</v>
      </c>
      <c r="B106" s="35" t="n">
        <v>45538</v>
      </c>
      <c r="C106" s="34" t="s">
        <v>256</v>
      </c>
      <c r="D106" s="34" t="s">
        <v>257</v>
      </c>
      <c r="E106" s="34" t="s">
        <v>118</v>
      </c>
      <c r="F106" s="34" t="s">
        <v>37</v>
      </c>
      <c r="G106" s="34" t="s">
        <v>36</v>
      </c>
      <c r="H106" s="34" t="n">
        <v>2</v>
      </c>
      <c r="I106" s="36" t="n">
        <v>699.99</v>
      </c>
      <c r="J106" s="34" t="s">
        <v>98</v>
      </c>
      <c r="K106" s="34" t="s">
        <v>27</v>
      </c>
      <c r="L106" s="34" t="s">
        <v>22</v>
      </c>
      <c r="M106" s="35" t="n">
        <v>44870</v>
      </c>
      <c r="N106" s="36" t="n">
        <v>1399.98</v>
      </c>
    </row>
    <row r="107" customFormat="false" ht="15" hidden="false" customHeight="true" outlineLevel="0" collapsed="false">
      <c r="A107" s="31" t="s">
        <v>269</v>
      </c>
      <c r="B107" s="32" t="n">
        <v>45541</v>
      </c>
      <c r="C107" s="31" t="s">
        <v>168</v>
      </c>
      <c r="D107" s="31" t="s">
        <v>169</v>
      </c>
      <c r="E107" s="31" t="s">
        <v>81</v>
      </c>
      <c r="F107" s="31" t="s">
        <v>41</v>
      </c>
      <c r="G107" s="31" t="s">
        <v>42</v>
      </c>
      <c r="H107" s="31" t="n">
        <v>3</v>
      </c>
      <c r="I107" s="33" t="n">
        <v>59.99</v>
      </c>
      <c r="J107" s="31" t="s">
        <v>77</v>
      </c>
      <c r="K107" s="31" t="s">
        <v>27</v>
      </c>
      <c r="L107" s="31" t="s">
        <v>22</v>
      </c>
      <c r="M107" s="32" t="n">
        <v>44717</v>
      </c>
      <c r="N107" s="33" t="n">
        <v>179.97</v>
      </c>
    </row>
    <row r="108" customFormat="false" ht="15" hidden="false" customHeight="true" outlineLevel="0" collapsed="false">
      <c r="A108" s="34" t="s">
        <v>270</v>
      </c>
      <c r="B108" s="35" t="n">
        <v>45544</v>
      </c>
      <c r="C108" s="34" t="s">
        <v>162</v>
      </c>
      <c r="D108" s="34" t="s">
        <v>163</v>
      </c>
      <c r="E108" s="34" t="s">
        <v>81</v>
      </c>
      <c r="F108" s="34" t="s">
        <v>41</v>
      </c>
      <c r="G108" s="34" t="s">
        <v>42</v>
      </c>
      <c r="H108" s="34" t="n">
        <v>3</v>
      </c>
      <c r="I108" s="36" t="n">
        <v>59.99</v>
      </c>
      <c r="J108" s="34" t="s">
        <v>82</v>
      </c>
      <c r="K108" s="34" t="s">
        <v>23</v>
      </c>
      <c r="L108" s="34" t="s">
        <v>19</v>
      </c>
      <c r="M108" s="35" t="n">
        <v>44748</v>
      </c>
      <c r="N108" s="36" t="n">
        <v>179.97</v>
      </c>
    </row>
    <row r="109" customFormat="false" ht="15" hidden="false" customHeight="true" outlineLevel="0" collapsed="false">
      <c r="A109" s="31" t="s">
        <v>271</v>
      </c>
      <c r="B109" s="32" t="n">
        <v>45544</v>
      </c>
      <c r="C109" s="31" t="s">
        <v>171</v>
      </c>
      <c r="D109" s="31" t="s">
        <v>172</v>
      </c>
      <c r="E109" s="31" t="s">
        <v>148</v>
      </c>
      <c r="F109" s="31" t="s">
        <v>43</v>
      </c>
      <c r="G109" s="31" t="s">
        <v>42</v>
      </c>
      <c r="H109" s="31" t="n">
        <v>4</v>
      </c>
      <c r="I109" s="33" t="n">
        <v>79.99</v>
      </c>
      <c r="J109" s="31" t="s">
        <v>73</v>
      </c>
      <c r="K109" s="31" t="s">
        <v>17</v>
      </c>
      <c r="L109" s="31" t="s">
        <v>74</v>
      </c>
      <c r="M109" s="32" t="n">
        <v>44530</v>
      </c>
      <c r="N109" s="33" t="n">
        <v>319.96</v>
      </c>
    </row>
    <row r="110" customFormat="false" ht="15" hidden="false" customHeight="true" outlineLevel="0" collapsed="false">
      <c r="A110" s="34" t="s">
        <v>272</v>
      </c>
      <c r="B110" s="35" t="n">
        <v>45545</v>
      </c>
      <c r="C110" s="34" t="s">
        <v>96</v>
      </c>
      <c r="D110" s="34" t="s">
        <v>97</v>
      </c>
      <c r="E110" s="34" t="s">
        <v>148</v>
      </c>
      <c r="F110" s="34" t="s">
        <v>43</v>
      </c>
      <c r="G110" s="34" t="s">
        <v>42</v>
      </c>
      <c r="H110" s="34" t="n">
        <v>1</v>
      </c>
      <c r="I110" s="36" t="n">
        <v>79.99</v>
      </c>
      <c r="J110" s="34" t="s">
        <v>73</v>
      </c>
      <c r="K110" s="34" t="s">
        <v>25</v>
      </c>
      <c r="L110" s="34" t="s">
        <v>74</v>
      </c>
      <c r="M110" s="35" t="n">
        <v>44693</v>
      </c>
      <c r="N110" s="36" t="n">
        <v>79.99</v>
      </c>
    </row>
    <row r="111" customFormat="false" ht="15" hidden="false" customHeight="true" outlineLevel="0" collapsed="false">
      <c r="A111" s="31" t="s">
        <v>273</v>
      </c>
      <c r="B111" s="32" t="n">
        <v>45547</v>
      </c>
      <c r="C111" s="31" t="s">
        <v>91</v>
      </c>
      <c r="D111" s="31" t="s">
        <v>92</v>
      </c>
      <c r="E111" s="31" t="s">
        <v>140</v>
      </c>
      <c r="F111" s="31" t="s">
        <v>46</v>
      </c>
      <c r="G111" s="31" t="s">
        <v>45</v>
      </c>
      <c r="H111" s="31" t="n">
        <v>3</v>
      </c>
      <c r="I111" s="33" t="n">
        <v>299.99</v>
      </c>
      <c r="J111" s="31" t="s">
        <v>77</v>
      </c>
      <c r="K111" s="31" t="s">
        <v>27</v>
      </c>
      <c r="L111" s="31" t="s">
        <v>22</v>
      </c>
      <c r="M111" s="32" t="n">
        <v>44494</v>
      </c>
      <c r="N111" s="33" t="n">
        <v>899.97</v>
      </c>
    </row>
    <row r="112" customFormat="false" ht="15" hidden="false" customHeight="true" outlineLevel="0" collapsed="false">
      <c r="A112" s="34" t="s">
        <v>274</v>
      </c>
      <c r="B112" s="35" t="n">
        <v>45548</v>
      </c>
      <c r="C112" s="34" t="s">
        <v>84</v>
      </c>
      <c r="D112" s="34" t="s">
        <v>85</v>
      </c>
      <c r="E112" s="34" t="s">
        <v>150</v>
      </c>
      <c r="F112" s="34" t="s">
        <v>40</v>
      </c>
      <c r="G112" s="34" t="s">
        <v>36</v>
      </c>
      <c r="H112" s="34" t="n">
        <v>2</v>
      </c>
      <c r="I112" s="36" t="n">
        <v>89.99</v>
      </c>
      <c r="J112" s="34" t="s">
        <v>77</v>
      </c>
      <c r="K112" s="34" t="s">
        <v>20</v>
      </c>
      <c r="L112" s="34" t="s">
        <v>22</v>
      </c>
      <c r="M112" s="35" t="n">
        <v>44641</v>
      </c>
      <c r="N112" s="36" t="n">
        <v>179.98</v>
      </c>
    </row>
    <row r="113" customFormat="false" ht="15" hidden="false" customHeight="true" outlineLevel="0" collapsed="false">
      <c r="A113" s="31" t="s">
        <v>275</v>
      </c>
      <c r="B113" s="32" t="n">
        <v>45550</v>
      </c>
      <c r="C113" s="31" t="s">
        <v>276</v>
      </c>
      <c r="D113" s="31" t="s">
        <v>277</v>
      </c>
      <c r="E113" s="31" t="s">
        <v>94</v>
      </c>
      <c r="F113" s="31" t="s">
        <v>38</v>
      </c>
      <c r="G113" s="31" t="s">
        <v>36</v>
      </c>
      <c r="H113" s="31" t="n">
        <v>4</v>
      </c>
      <c r="I113" s="33" t="n">
        <v>149.99</v>
      </c>
      <c r="J113" s="31" t="s">
        <v>73</v>
      </c>
      <c r="K113" s="31" t="s">
        <v>17</v>
      </c>
      <c r="L113" s="31" t="s">
        <v>74</v>
      </c>
      <c r="M113" s="32" t="n">
        <v>44909</v>
      </c>
      <c r="N113" s="33" t="n">
        <v>599.96</v>
      </c>
    </row>
    <row r="114" customFormat="false" ht="15" hidden="false" customHeight="true" outlineLevel="0" collapsed="false">
      <c r="A114" s="34" t="s">
        <v>278</v>
      </c>
      <c r="B114" s="35" t="n">
        <v>45551</v>
      </c>
      <c r="C114" s="34" t="s">
        <v>104</v>
      </c>
      <c r="D114" s="34" t="s">
        <v>24</v>
      </c>
      <c r="E114" s="34" t="s">
        <v>72</v>
      </c>
      <c r="F114" s="34" t="s">
        <v>39</v>
      </c>
      <c r="G114" s="34" t="s">
        <v>36</v>
      </c>
      <c r="H114" s="34" t="n">
        <v>2</v>
      </c>
      <c r="I114" s="36" t="n">
        <v>249.99</v>
      </c>
      <c r="J114" s="34" t="s">
        <v>82</v>
      </c>
      <c r="K114" s="34" t="s">
        <v>20</v>
      </c>
      <c r="L114" s="34" t="s">
        <v>74</v>
      </c>
      <c r="M114" s="35" t="n">
        <v>44993</v>
      </c>
      <c r="N114" s="36" t="n">
        <v>499.98</v>
      </c>
    </row>
    <row r="115" customFormat="false" ht="15" hidden="false" customHeight="true" outlineLevel="0" collapsed="false">
      <c r="A115" s="31" t="s">
        <v>279</v>
      </c>
      <c r="B115" s="32" t="n">
        <v>45551</v>
      </c>
      <c r="C115" s="31" t="s">
        <v>184</v>
      </c>
      <c r="D115" s="31" t="s">
        <v>185</v>
      </c>
      <c r="E115" s="31" t="s">
        <v>157</v>
      </c>
      <c r="F115" s="31" t="s">
        <v>47</v>
      </c>
      <c r="G115" s="31" t="s">
        <v>45</v>
      </c>
      <c r="H115" s="31" t="n">
        <v>4</v>
      </c>
      <c r="I115" s="33" t="n">
        <v>199.99</v>
      </c>
      <c r="J115" s="31" t="s">
        <v>98</v>
      </c>
      <c r="K115" s="31" t="s">
        <v>23</v>
      </c>
      <c r="L115" s="31" t="s">
        <v>74</v>
      </c>
      <c r="M115" s="32" t="n">
        <v>44458</v>
      </c>
      <c r="N115" s="33" t="n">
        <v>799.96</v>
      </c>
    </row>
    <row r="116" customFormat="false" ht="15" hidden="false" customHeight="true" outlineLevel="0" collapsed="false">
      <c r="A116" s="34" t="s">
        <v>280</v>
      </c>
      <c r="B116" s="35" t="n">
        <v>45554</v>
      </c>
      <c r="C116" s="34" t="s">
        <v>177</v>
      </c>
      <c r="D116" s="34" t="s">
        <v>178</v>
      </c>
      <c r="E116" s="34" t="s">
        <v>150</v>
      </c>
      <c r="F116" s="34" t="s">
        <v>40</v>
      </c>
      <c r="G116" s="34" t="s">
        <v>36</v>
      </c>
      <c r="H116" s="34" t="n">
        <v>5</v>
      </c>
      <c r="I116" s="36" t="n">
        <v>89.99</v>
      </c>
      <c r="J116" s="34" t="s">
        <v>77</v>
      </c>
      <c r="K116" s="34" t="s">
        <v>23</v>
      </c>
      <c r="L116" s="34" t="s">
        <v>22</v>
      </c>
      <c r="M116" s="35" t="n">
        <v>44446</v>
      </c>
      <c r="N116" s="36" t="n">
        <v>449.95</v>
      </c>
    </row>
    <row r="117" customFormat="false" ht="15" hidden="false" customHeight="true" outlineLevel="0" collapsed="false">
      <c r="A117" s="31" t="s">
        <v>281</v>
      </c>
      <c r="B117" s="32" t="n">
        <v>45554</v>
      </c>
      <c r="C117" s="31" t="s">
        <v>282</v>
      </c>
      <c r="D117" s="31" t="s">
        <v>283</v>
      </c>
      <c r="E117" s="31" t="s">
        <v>94</v>
      </c>
      <c r="F117" s="31" t="s">
        <v>38</v>
      </c>
      <c r="G117" s="31" t="s">
        <v>36</v>
      </c>
      <c r="H117" s="31" t="n">
        <v>1</v>
      </c>
      <c r="I117" s="33" t="n">
        <v>149.99</v>
      </c>
      <c r="J117" s="31" t="s">
        <v>82</v>
      </c>
      <c r="K117" s="31" t="s">
        <v>23</v>
      </c>
      <c r="L117" s="31" t="s">
        <v>19</v>
      </c>
      <c r="M117" s="32" t="n">
        <v>44482</v>
      </c>
      <c r="N117" s="33" t="n">
        <v>149.99</v>
      </c>
    </row>
    <row r="118" customFormat="false" ht="15" hidden="false" customHeight="true" outlineLevel="0" collapsed="false">
      <c r="A118" s="34" t="s">
        <v>284</v>
      </c>
      <c r="B118" s="35" t="n">
        <v>45554</v>
      </c>
      <c r="C118" s="34" t="s">
        <v>110</v>
      </c>
      <c r="D118" s="34" t="s">
        <v>111</v>
      </c>
      <c r="E118" s="34" t="s">
        <v>118</v>
      </c>
      <c r="F118" s="34" t="s">
        <v>37</v>
      </c>
      <c r="G118" s="34" t="s">
        <v>36</v>
      </c>
      <c r="H118" s="34" t="n">
        <v>4</v>
      </c>
      <c r="I118" s="36" t="n">
        <v>699.99</v>
      </c>
      <c r="J118" s="34" t="s">
        <v>82</v>
      </c>
      <c r="K118" s="34" t="s">
        <v>20</v>
      </c>
      <c r="L118" s="34" t="s">
        <v>74</v>
      </c>
      <c r="M118" s="35" t="n">
        <v>44618</v>
      </c>
      <c r="N118" s="36" t="n">
        <v>2799.96</v>
      </c>
    </row>
    <row r="119" customFormat="false" ht="15" hidden="false" customHeight="true" outlineLevel="0" collapsed="false">
      <c r="A119" s="31" t="s">
        <v>285</v>
      </c>
      <c r="B119" s="32" t="n">
        <v>45559</v>
      </c>
      <c r="C119" s="31" t="s">
        <v>264</v>
      </c>
      <c r="D119" s="31" t="s">
        <v>265</v>
      </c>
      <c r="E119" s="31" t="s">
        <v>102</v>
      </c>
      <c r="F119" s="31" t="s">
        <v>35</v>
      </c>
      <c r="G119" s="31" t="s">
        <v>36</v>
      </c>
      <c r="H119" s="31" t="n">
        <v>3</v>
      </c>
      <c r="I119" s="33" t="n">
        <v>899.99</v>
      </c>
      <c r="J119" s="31" t="s">
        <v>77</v>
      </c>
      <c r="K119" s="31" t="s">
        <v>17</v>
      </c>
      <c r="L119" s="31" t="s">
        <v>19</v>
      </c>
      <c r="M119" s="32" t="n">
        <v>45157</v>
      </c>
      <c r="N119" s="33" t="n">
        <v>2699.97</v>
      </c>
    </row>
    <row r="120" customFormat="false" ht="15" hidden="false" customHeight="true" outlineLevel="0" collapsed="false">
      <c r="A120" s="34" t="s">
        <v>286</v>
      </c>
      <c r="B120" s="35" t="n">
        <v>45560</v>
      </c>
      <c r="C120" s="34" t="s">
        <v>146</v>
      </c>
      <c r="D120" s="34" t="s">
        <v>147</v>
      </c>
      <c r="E120" s="34" t="s">
        <v>89</v>
      </c>
      <c r="F120" s="34" t="s">
        <v>44</v>
      </c>
      <c r="G120" s="34" t="s">
        <v>45</v>
      </c>
      <c r="H120" s="34" t="n">
        <v>3</v>
      </c>
      <c r="I120" s="36" t="n">
        <v>149.99</v>
      </c>
      <c r="J120" s="34" t="s">
        <v>82</v>
      </c>
      <c r="K120" s="34" t="s">
        <v>23</v>
      </c>
      <c r="L120" s="34" t="s">
        <v>74</v>
      </c>
      <c r="M120" s="35" t="n">
        <v>44886</v>
      </c>
      <c r="N120" s="36" t="n">
        <v>449.97</v>
      </c>
    </row>
    <row r="121" customFormat="false" ht="15" hidden="false" customHeight="true" outlineLevel="0" collapsed="false">
      <c r="A121" s="31" t="s">
        <v>287</v>
      </c>
      <c r="B121" s="32" t="n">
        <v>45563</v>
      </c>
      <c r="C121" s="31" t="s">
        <v>134</v>
      </c>
      <c r="D121" s="31" t="s">
        <v>135</v>
      </c>
      <c r="E121" s="31" t="s">
        <v>140</v>
      </c>
      <c r="F121" s="31" t="s">
        <v>46</v>
      </c>
      <c r="G121" s="31" t="s">
        <v>45</v>
      </c>
      <c r="H121" s="31" t="n">
        <v>2</v>
      </c>
      <c r="I121" s="33" t="n">
        <v>299.99</v>
      </c>
      <c r="J121" s="31" t="s">
        <v>98</v>
      </c>
      <c r="K121" s="31" t="s">
        <v>27</v>
      </c>
      <c r="L121" s="31" t="s">
        <v>74</v>
      </c>
      <c r="M121" s="32" t="n">
        <v>44569</v>
      </c>
      <c r="N121" s="33" t="n">
        <v>599.98</v>
      </c>
    </row>
    <row r="122" customFormat="false" ht="15" hidden="false" customHeight="true" outlineLevel="0" collapsed="false">
      <c r="A122" s="34" t="s">
        <v>288</v>
      </c>
      <c r="B122" s="35" t="n">
        <v>45564</v>
      </c>
      <c r="C122" s="34" t="s">
        <v>289</v>
      </c>
      <c r="D122" s="34" t="s">
        <v>290</v>
      </c>
      <c r="E122" s="34" t="s">
        <v>157</v>
      </c>
      <c r="F122" s="34" t="s">
        <v>47</v>
      </c>
      <c r="G122" s="34" t="s">
        <v>45</v>
      </c>
      <c r="H122" s="34" t="n">
        <v>1</v>
      </c>
      <c r="I122" s="36" t="n">
        <v>199.99</v>
      </c>
      <c r="J122" s="34" t="s">
        <v>98</v>
      </c>
      <c r="K122" s="34" t="s">
        <v>23</v>
      </c>
      <c r="L122" s="34" t="s">
        <v>19</v>
      </c>
      <c r="M122" s="35" t="n">
        <v>44953</v>
      </c>
      <c r="N122" s="36" t="n">
        <v>199.99</v>
      </c>
    </row>
    <row r="123" customFormat="false" ht="15" hidden="false" customHeight="true" outlineLevel="0" collapsed="false">
      <c r="A123" s="31" t="s">
        <v>291</v>
      </c>
      <c r="B123" s="32" t="n">
        <v>45566</v>
      </c>
      <c r="C123" s="31" t="s">
        <v>87</v>
      </c>
      <c r="D123" s="31" t="s">
        <v>88</v>
      </c>
      <c r="E123" s="31" t="s">
        <v>140</v>
      </c>
      <c r="F123" s="31" t="s">
        <v>46</v>
      </c>
      <c r="G123" s="31" t="s">
        <v>45</v>
      </c>
      <c r="H123" s="31" t="n">
        <v>4</v>
      </c>
      <c r="I123" s="33" t="n">
        <v>299.99</v>
      </c>
      <c r="J123" s="31" t="s">
        <v>73</v>
      </c>
      <c r="K123" s="31" t="s">
        <v>27</v>
      </c>
      <c r="L123" s="31" t="s">
        <v>22</v>
      </c>
      <c r="M123" s="32" t="n">
        <v>44460</v>
      </c>
      <c r="N123" s="33" t="n">
        <v>1199.96</v>
      </c>
    </row>
    <row r="124" customFormat="false" ht="15" hidden="false" customHeight="true" outlineLevel="0" collapsed="false">
      <c r="A124" s="34" t="s">
        <v>292</v>
      </c>
      <c r="B124" s="35" t="n">
        <v>45572</v>
      </c>
      <c r="C124" s="34" t="s">
        <v>125</v>
      </c>
      <c r="D124" s="34" t="s">
        <v>126</v>
      </c>
      <c r="E124" s="34" t="s">
        <v>81</v>
      </c>
      <c r="F124" s="34" t="s">
        <v>41</v>
      </c>
      <c r="G124" s="34" t="s">
        <v>42</v>
      </c>
      <c r="H124" s="34" t="n">
        <v>2</v>
      </c>
      <c r="I124" s="36" t="n">
        <v>59.99</v>
      </c>
      <c r="J124" s="34" t="s">
        <v>77</v>
      </c>
      <c r="K124" s="34" t="s">
        <v>27</v>
      </c>
      <c r="L124" s="34" t="s">
        <v>74</v>
      </c>
      <c r="M124" s="35" t="n">
        <v>44579</v>
      </c>
      <c r="N124" s="36" t="n">
        <v>119.98</v>
      </c>
    </row>
    <row r="125" customFormat="false" ht="15" hidden="false" customHeight="true" outlineLevel="0" collapsed="false">
      <c r="A125" s="31" t="s">
        <v>293</v>
      </c>
      <c r="B125" s="32" t="n">
        <v>45572</v>
      </c>
      <c r="C125" s="31" t="s">
        <v>264</v>
      </c>
      <c r="D125" s="31" t="s">
        <v>265</v>
      </c>
      <c r="E125" s="31" t="s">
        <v>94</v>
      </c>
      <c r="F125" s="31" t="s">
        <v>38</v>
      </c>
      <c r="G125" s="31" t="s">
        <v>36</v>
      </c>
      <c r="H125" s="31" t="n">
        <v>4</v>
      </c>
      <c r="I125" s="33" t="n">
        <v>149.99</v>
      </c>
      <c r="J125" s="31" t="s">
        <v>77</v>
      </c>
      <c r="K125" s="31" t="s">
        <v>17</v>
      </c>
      <c r="L125" s="31" t="s">
        <v>22</v>
      </c>
      <c r="M125" s="32" t="n">
        <v>45076</v>
      </c>
      <c r="N125" s="33" t="n">
        <v>599.96</v>
      </c>
    </row>
    <row r="126" customFormat="false" ht="15" hidden="false" customHeight="true" outlineLevel="0" collapsed="false">
      <c r="A126" s="34" t="s">
        <v>294</v>
      </c>
      <c r="B126" s="35" t="n">
        <v>45573</v>
      </c>
      <c r="C126" s="34" t="s">
        <v>241</v>
      </c>
      <c r="D126" s="34" t="s">
        <v>242</v>
      </c>
      <c r="E126" s="34" t="s">
        <v>118</v>
      </c>
      <c r="F126" s="34" t="s">
        <v>37</v>
      </c>
      <c r="G126" s="34" t="s">
        <v>36</v>
      </c>
      <c r="H126" s="34" t="n">
        <v>2</v>
      </c>
      <c r="I126" s="36" t="n">
        <v>699.99</v>
      </c>
      <c r="J126" s="34" t="s">
        <v>98</v>
      </c>
      <c r="K126" s="34" t="s">
        <v>23</v>
      </c>
      <c r="L126" s="34" t="s">
        <v>22</v>
      </c>
      <c r="M126" s="35" t="n">
        <v>45274</v>
      </c>
      <c r="N126" s="36" t="n">
        <v>1399.98</v>
      </c>
    </row>
    <row r="127" customFormat="false" ht="15" hidden="false" customHeight="true" outlineLevel="0" collapsed="false">
      <c r="A127" s="31" t="s">
        <v>295</v>
      </c>
      <c r="B127" s="32" t="n">
        <v>45573</v>
      </c>
      <c r="C127" s="31" t="s">
        <v>261</v>
      </c>
      <c r="D127" s="31" t="s">
        <v>262</v>
      </c>
      <c r="E127" s="31" t="s">
        <v>89</v>
      </c>
      <c r="F127" s="31" t="s">
        <v>44</v>
      </c>
      <c r="G127" s="31" t="s">
        <v>45</v>
      </c>
      <c r="H127" s="31" t="n">
        <v>3</v>
      </c>
      <c r="I127" s="33" t="n">
        <v>149.99</v>
      </c>
      <c r="J127" s="31" t="s">
        <v>77</v>
      </c>
      <c r="K127" s="31" t="s">
        <v>20</v>
      </c>
      <c r="L127" s="31" t="s">
        <v>19</v>
      </c>
      <c r="M127" s="32" t="n">
        <v>44940</v>
      </c>
      <c r="N127" s="33" t="n">
        <v>449.97</v>
      </c>
    </row>
    <row r="128" customFormat="false" ht="15" hidden="false" customHeight="true" outlineLevel="0" collapsed="false">
      <c r="A128" s="34" t="s">
        <v>296</v>
      </c>
      <c r="B128" s="35" t="n">
        <v>45576</v>
      </c>
      <c r="C128" s="34" t="s">
        <v>177</v>
      </c>
      <c r="D128" s="34" t="s">
        <v>178</v>
      </c>
      <c r="E128" s="34" t="s">
        <v>140</v>
      </c>
      <c r="F128" s="34" t="s">
        <v>46</v>
      </c>
      <c r="G128" s="34" t="s">
        <v>45</v>
      </c>
      <c r="H128" s="34" t="n">
        <v>3</v>
      </c>
      <c r="I128" s="36" t="n">
        <v>299.99</v>
      </c>
      <c r="J128" s="34" t="s">
        <v>77</v>
      </c>
      <c r="K128" s="34" t="s">
        <v>27</v>
      </c>
      <c r="L128" s="34" t="s">
        <v>19</v>
      </c>
      <c r="M128" s="35" t="n">
        <v>45174</v>
      </c>
      <c r="N128" s="36" t="n">
        <v>899.97</v>
      </c>
    </row>
    <row r="129" customFormat="false" ht="15" hidden="false" customHeight="true" outlineLevel="0" collapsed="false">
      <c r="A129" s="31" t="s">
        <v>297</v>
      </c>
      <c r="B129" s="32" t="n">
        <v>45579</v>
      </c>
      <c r="C129" s="31" t="s">
        <v>120</v>
      </c>
      <c r="D129" s="31" t="s">
        <v>121</v>
      </c>
      <c r="E129" s="31" t="s">
        <v>102</v>
      </c>
      <c r="F129" s="31" t="s">
        <v>35</v>
      </c>
      <c r="G129" s="31" t="s">
        <v>36</v>
      </c>
      <c r="H129" s="31" t="n">
        <v>3</v>
      </c>
      <c r="I129" s="33" t="n">
        <v>899.99</v>
      </c>
      <c r="J129" s="31" t="s">
        <v>82</v>
      </c>
      <c r="K129" s="31" t="s">
        <v>25</v>
      </c>
      <c r="L129" s="31" t="s">
        <v>74</v>
      </c>
      <c r="M129" s="32" t="n">
        <v>45215</v>
      </c>
      <c r="N129" s="33" t="n">
        <v>2699.97</v>
      </c>
    </row>
    <row r="130" customFormat="false" ht="15" hidden="false" customHeight="true" outlineLevel="0" collapsed="false">
      <c r="A130" s="34" t="s">
        <v>298</v>
      </c>
      <c r="B130" s="35" t="n">
        <v>45581</v>
      </c>
      <c r="C130" s="34" t="s">
        <v>132</v>
      </c>
      <c r="D130" s="34" t="s">
        <v>26</v>
      </c>
      <c r="E130" s="34" t="s">
        <v>118</v>
      </c>
      <c r="F130" s="34" t="s">
        <v>37</v>
      </c>
      <c r="G130" s="34" t="s">
        <v>36</v>
      </c>
      <c r="H130" s="34" t="n">
        <v>5</v>
      </c>
      <c r="I130" s="36" t="n">
        <v>699.99</v>
      </c>
      <c r="J130" s="34" t="s">
        <v>73</v>
      </c>
      <c r="K130" s="34" t="s">
        <v>23</v>
      </c>
      <c r="L130" s="34" t="s">
        <v>19</v>
      </c>
      <c r="M130" s="35" t="n">
        <v>45008</v>
      </c>
      <c r="N130" s="36" t="n">
        <v>3499.95</v>
      </c>
    </row>
    <row r="131" customFormat="false" ht="15" hidden="false" customHeight="true" outlineLevel="0" collapsed="false">
      <c r="A131" s="31" t="s">
        <v>299</v>
      </c>
      <c r="B131" s="32" t="n">
        <v>45581</v>
      </c>
      <c r="C131" s="31" t="s">
        <v>201</v>
      </c>
      <c r="D131" s="31" t="s">
        <v>202</v>
      </c>
      <c r="E131" s="31" t="s">
        <v>118</v>
      </c>
      <c r="F131" s="31" t="s">
        <v>37</v>
      </c>
      <c r="G131" s="31" t="s">
        <v>36</v>
      </c>
      <c r="H131" s="31" t="n">
        <v>4</v>
      </c>
      <c r="I131" s="33" t="n">
        <v>699.99</v>
      </c>
      <c r="J131" s="31" t="s">
        <v>77</v>
      </c>
      <c r="K131" s="31" t="s">
        <v>27</v>
      </c>
      <c r="L131" s="31" t="s">
        <v>74</v>
      </c>
      <c r="M131" s="32" t="n">
        <v>45385</v>
      </c>
      <c r="N131" s="33" t="n">
        <v>2799.96</v>
      </c>
    </row>
    <row r="132" customFormat="false" ht="15" hidden="false" customHeight="true" outlineLevel="0" collapsed="false">
      <c r="A132" s="34" t="s">
        <v>300</v>
      </c>
      <c r="B132" s="35" t="n">
        <v>45581</v>
      </c>
      <c r="C132" s="34" t="s">
        <v>180</v>
      </c>
      <c r="D132" s="34" t="s">
        <v>181</v>
      </c>
      <c r="E132" s="34" t="s">
        <v>102</v>
      </c>
      <c r="F132" s="34" t="s">
        <v>35</v>
      </c>
      <c r="G132" s="34" t="s">
        <v>36</v>
      </c>
      <c r="H132" s="34" t="n">
        <v>1</v>
      </c>
      <c r="I132" s="36" t="n">
        <v>899.99</v>
      </c>
      <c r="J132" s="34" t="s">
        <v>77</v>
      </c>
      <c r="K132" s="34" t="s">
        <v>23</v>
      </c>
      <c r="L132" s="34" t="s">
        <v>19</v>
      </c>
      <c r="M132" s="35" t="n">
        <v>45369</v>
      </c>
      <c r="N132" s="36" t="n">
        <v>899.99</v>
      </c>
    </row>
    <row r="133" customFormat="false" ht="15" hidden="false" customHeight="true" outlineLevel="0" collapsed="false">
      <c r="A133" s="31" t="s">
        <v>301</v>
      </c>
      <c r="B133" s="32" t="n">
        <v>45583</v>
      </c>
      <c r="C133" s="31" t="s">
        <v>256</v>
      </c>
      <c r="D133" s="31" t="s">
        <v>257</v>
      </c>
      <c r="E133" s="31" t="s">
        <v>94</v>
      </c>
      <c r="F133" s="31" t="s">
        <v>38</v>
      </c>
      <c r="G133" s="31" t="s">
        <v>36</v>
      </c>
      <c r="H133" s="31" t="n">
        <v>2</v>
      </c>
      <c r="I133" s="33" t="n">
        <v>149.99</v>
      </c>
      <c r="J133" s="31" t="s">
        <v>77</v>
      </c>
      <c r="K133" s="31" t="s">
        <v>25</v>
      </c>
      <c r="L133" s="31" t="s">
        <v>74</v>
      </c>
      <c r="M133" s="32" t="n">
        <v>44916</v>
      </c>
      <c r="N133" s="33" t="n">
        <v>299.98</v>
      </c>
    </row>
    <row r="134" customFormat="false" ht="15" hidden="false" customHeight="true" outlineLevel="0" collapsed="false">
      <c r="A134" s="34" t="s">
        <v>302</v>
      </c>
      <c r="B134" s="35" t="n">
        <v>45586</v>
      </c>
      <c r="C134" s="34" t="s">
        <v>256</v>
      </c>
      <c r="D134" s="34" t="s">
        <v>257</v>
      </c>
      <c r="E134" s="34" t="s">
        <v>150</v>
      </c>
      <c r="F134" s="34" t="s">
        <v>40</v>
      </c>
      <c r="G134" s="34" t="s">
        <v>36</v>
      </c>
      <c r="H134" s="34" t="n">
        <v>3</v>
      </c>
      <c r="I134" s="36" t="n">
        <v>89.99</v>
      </c>
      <c r="J134" s="34" t="s">
        <v>82</v>
      </c>
      <c r="K134" s="34" t="s">
        <v>27</v>
      </c>
      <c r="L134" s="34" t="s">
        <v>74</v>
      </c>
      <c r="M134" s="35" t="n">
        <v>44551</v>
      </c>
      <c r="N134" s="36" t="n">
        <v>269.97</v>
      </c>
    </row>
    <row r="135" customFormat="false" ht="15" hidden="false" customHeight="true" outlineLevel="0" collapsed="false">
      <c r="A135" s="31" t="s">
        <v>303</v>
      </c>
      <c r="B135" s="32" t="n">
        <v>45588</v>
      </c>
      <c r="C135" s="31" t="s">
        <v>84</v>
      </c>
      <c r="D135" s="31" t="s">
        <v>85</v>
      </c>
      <c r="E135" s="31" t="s">
        <v>94</v>
      </c>
      <c r="F135" s="31" t="s">
        <v>38</v>
      </c>
      <c r="G135" s="31" t="s">
        <v>36</v>
      </c>
      <c r="H135" s="31" t="n">
        <v>2</v>
      </c>
      <c r="I135" s="33" t="n">
        <v>149.99</v>
      </c>
      <c r="J135" s="31" t="s">
        <v>82</v>
      </c>
      <c r="K135" s="31" t="s">
        <v>27</v>
      </c>
      <c r="L135" s="31" t="s">
        <v>74</v>
      </c>
      <c r="M135" s="32" t="n">
        <v>44473</v>
      </c>
      <c r="N135" s="33" t="n">
        <v>299.98</v>
      </c>
    </row>
    <row r="136" customFormat="false" ht="15" hidden="false" customHeight="true" outlineLevel="0" collapsed="false">
      <c r="A136" s="34" t="s">
        <v>304</v>
      </c>
      <c r="B136" s="35" t="n">
        <v>45588</v>
      </c>
      <c r="C136" s="34" t="s">
        <v>184</v>
      </c>
      <c r="D136" s="34" t="s">
        <v>185</v>
      </c>
      <c r="E136" s="34" t="s">
        <v>118</v>
      </c>
      <c r="F136" s="34" t="s">
        <v>37</v>
      </c>
      <c r="G136" s="34" t="s">
        <v>36</v>
      </c>
      <c r="H136" s="34" t="n">
        <v>2</v>
      </c>
      <c r="I136" s="36" t="n">
        <v>699.99</v>
      </c>
      <c r="J136" s="34" t="s">
        <v>73</v>
      </c>
      <c r="K136" s="34" t="s">
        <v>27</v>
      </c>
      <c r="L136" s="34" t="s">
        <v>74</v>
      </c>
      <c r="M136" s="35" t="n">
        <v>44992</v>
      </c>
      <c r="N136" s="36" t="n">
        <v>1399.98</v>
      </c>
    </row>
    <row r="137" customFormat="false" ht="15" hidden="false" customHeight="true" outlineLevel="0" collapsed="false">
      <c r="A137" s="31" t="s">
        <v>305</v>
      </c>
      <c r="B137" s="32" t="n">
        <v>45589</v>
      </c>
      <c r="C137" s="31" t="s">
        <v>188</v>
      </c>
      <c r="D137" s="31" t="s">
        <v>189</v>
      </c>
      <c r="E137" s="31" t="s">
        <v>118</v>
      </c>
      <c r="F137" s="31" t="s">
        <v>37</v>
      </c>
      <c r="G137" s="31" t="s">
        <v>36</v>
      </c>
      <c r="H137" s="31" t="n">
        <v>5</v>
      </c>
      <c r="I137" s="33" t="n">
        <v>699.99</v>
      </c>
      <c r="J137" s="31" t="s">
        <v>73</v>
      </c>
      <c r="K137" s="31" t="s">
        <v>17</v>
      </c>
      <c r="L137" s="31" t="s">
        <v>22</v>
      </c>
      <c r="M137" s="32" t="n">
        <v>44635</v>
      </c>
      <c r="N137" s="33" t="n">
        <v>3499.95</v>
      </c>
    </row>
    <row r="138" customFormat="false" ht="15" hidden="false" customHeight="true" outlineLevel="0" collapsed="false">
      <c r="A138" s="34" t="s">
        <v>306</v>
      </c>
      <c r="B138" s="35" t="n">
        <v>45592</v>
      </c>
      <c r="C138" s="34" t="s">
        <v>201</v>
      </c>
      <c r="D138" s="34" t="s">
        <v>202</v>
      </c>
      <c r="E138" s="34" t="s">
        <v>150</v>
      </c>
      <c r="F138" s="34" t="s">
        <v>40</v>
      </c>
      <c r="G138" s="34" t="s">
        <v>36</v>
      </c>
      <c r="H138" s="34" t="n">
        <v>3</v>
      </c>
      <c r="I138" s="36" t="n">
        <v>89.99</v>
      </c>
      <c r="J138" s="34" t="s">
        <v>77</v>
      </c>
      <c r="K138" s="34" t="s">
        <v>17</v>
      </c>
      <c r="L138" s="34" t="s">
        <v>19</v>
      </c>
      <c r="M138" s="35" t="n">
        <v>44615</v>
      </c>
      <c r="N138" s="36" t="n">
        <v>269.97</v>
      </c>
    </row>
    <row r="139" customFormat="false" ht="15" hidden="false" customHeight="true" outlineLevel="0" collapsed="false">
      <c r="A139" s="31" t="s">
        <v>307</v>
      </c>
      <c r="B139" s="32" t="n">
        <v>45597</v>
      </c>
      <c r="C139" s="31" t="s">
        <v>70</v>
      </c>
      <c r="D139" s="31" t="s">
        <v>71</v>
      </c>
      <c r="E139" s="31" t="s">
        <v>72</v>
      </c>
      <c r="F139" s="31" t="s">
        <v>39</v>
      </c>
      <c r="G139" s="31" t="s">
        <v>36</v>
      </c>
      <c r="H139" s="31" t="n">
        <v>5</v>
      </c>
      <c r="I139" s="33" t="n">
        <v>249.99</v>
      </c>
      <c r="J139" s="31" t="s">
        <v>77</v>
      </c>
      <c r="K139" s="31" t="s">
        <v>20</v>
      </c>
      <c r="L139" s="31" t="s">
        <v>19</v>
      </c>
      <c r="M139" s="32" t="n">
        <v>44881</v>
      </c>
      <c r="N139" s="33" t="n">
        <v>1249.95</v>
      </c>
    </row>
    <row r="140" customFormat="false" ht="15" hidden="false" customHeight="true" outlineLevel="0" collapsed="false">
      <c r="A140" s="34" t="s">
        <v>308</v>
      </c>
      <c r="B140" s="35" t="n">
        <v>45600</v>
      </c>
      <c r="C140" s="34" t="s">
        <v>104</v>
      </c>
      <c r="D140" s="34" t="s">
        <v>24</v>
      </c>
      <c r="E140" s="34" t="s">
        <v>140</v>
      </c>
      <c r="F140" s="34" t="s">
        <v>46</v>
      </c>
      <c r="G140" s="34" t="s">
        <v>45</v>
      </c>
      <c r="H140" s="34" t="n">
        <v>3</v>
      </c>
      <c r="I140" s="36" t="n">
        <v>299.99</v>
      </c>
      <c r="J140" s="34" t="s">
        <v>77</v>
      </c>
      <c r="K140" s="34" t="s">
        <v>20</v>
      </c>
      <c r="L140" s="34" t="s">
        <v>19</v>
      </c>
      <c r="M140" s="35" t="n">
        <v>44502</v>
      </c>
      <c r="N140" s="36" t="n">
        <v>899.97</v>
      </c>
    </row>
    <row r="141" customFormat="false" ht="15" hidden="false" customHeight="true" outlineLevel="0" collapsed="false">
      <c r="A141" s="31" t="s">
        <v>309</v>
      </c>
      <c r="B141" s="32" t="n">
        <v>45603</v>
      </c>
      <c r="C141" s="31" t="s">
        <v>134</v>
      </c>
      <c r="D141" s="31" t="s">
        <v>135</v>
      </c>
      <c r="E141" s="31" t="s">
        <v>150</v>
      </c>
      <c r="F141" s="31" t="s">
        <v>40</v>
      </c>
      <c r="G141" s="31" t="s">
        <v>36</v>
      </c>
      <c r="H141" s="31" t="n">
        <v>3</v>
      </c>
      <c r="I141" s="33" t="n">
        <v>89.99</v>
      </c>
      <c r="J141" s="31" t="s">
        <v>77</v>
      </c>
      <c r="K141" s="31" t="s">
        <v>17</v>
      </c>
      <c r="L141" s="31" t="s">
        <v>22</v>
      </c>
      <c r="M141" s="32" t="n">
        <v>44420</v>
      </c>
      <c r="N141" s="33" t="n">
        <v>269.97</v>
      </c>
    </row>
    <row r="142" customFormat="false" ht="15" hidden="false" customHeight="true" outlineLevel="0" collapsed="false">
      <c r="A142" s="34" t="s">
        <v>310</v>
      </c>
      <c r="B142" s="35" t="n">
        <v>45604</v>
      </c>
      <c r="C142" s="34" t="s">
        <v>125</v>
      </c>
      <c r="D142" s="34" t="s">
        <v>126</v>
      </c>
      <c r="E142" s="34" t="s">
        <v>89</v>
      </c>
      <c r="F142" s="34" t="s">
        <v>44</v>
      </c>
      <c r="G142" s="34" t="s">
        <v>45</v>
      </c>
      <c r="H142" s="34" t="n">
        <v>2</v>
      </c>
      <c r="I142" s="36" t="n">
        <v>149.99</v>
      </c>
      <c r="J142" s="34" t="s">
        <v>77</v>
      </c>
      <c r="K142" s="34" t="s">
        <v>25</v>
      </c>
      <c r="L142" s="34" t="s">
        <v>22</v>
      </c>
      <c r="M142" s="35" t="n">
        <v>44848</v>
      </c>
      <c r="N142" s="36" t="n">
        <v>299.98</v>
      </c>
    </row>
    <row r="143" customFormat="false" ht="15" hidden="false" customHeight="true" outlineLevel="0" collapsed="false">
      <c r="A143" s="31" t="s">
        <v>311</v>
      </c>
      <c r="B143" s="32" t="n">
        <v>45605</v>
      </c>
      <c r="C143" s="31" t="s">
        <v>215</v>
      </c>
      <c r="D143" s="31" t="s">
        <v>216</v>
      </c>
      <c r="E143" s="31" t="s">
        <v>72</v>
      </c>
      <c r="F143" s="31" t="s">
        <v>39</v>
      </c>
      <c r="G143" s="31" t="s">
        <v>36</v>
      </c>
      <c r="H143" s="31" t="n">
        <v>1</v>
      </c>
      <c r="I143" s="33" t="n">
        <v>249.99</v>
      </c>
      <c r="J143" s="31" t="s">
        <v>77</v>
      </c>
      <c r="K143" s="31" t="s">
        <v>17</v>
      </c>
      <c r="L143" s="31" t="s">
        <v>22</v>
      </c>
      <c r="M143" s="32" t="n">
        <v>44828</v>
      </c>
      <c r="N143" s="33" t="n">
        <v>249.99</v>
      </c>
    </row>
    <row r="144" customFormat="false" ht="15" hidden="false" customHeight="true" outlineLevel="0" collapsed="false">
      <c r="A144" s="34" t="s">
        <v>312</v>
      </c>
      <c r="B144" s="35" t="n">
        <v>45607</v>
      </c>
      <c r="C144" s="34" t="s">
        <v>110</v>
      </c>
      <c r="D144" s="34" t="s">
        <v>111</v>
      </c>
      <c r="E144" s="34" t="s">
        <v>94</v>
      </c>
      <c r="F144" s="34" t="s">
        <v>38</v>
      </c>
      <c r="G144" s="34" t="s">
        <v>36</v>
      </c>
      <c r="H144" s="34" t="n">
        <v>3</v>
      </c>
      <c r="I144" s="36" t="n">
        <v>149.99</v>
      </c>
      <c r="J144" s="34" t="s">
        <v>73</v>
      </c>
      <c r="K144" s="34" t="s">
        <v>17</v>
      </c>
      <c r="L144" s="34" t="s">
        <v>74</v>
      </c>
      <c r="M144" s="35" t="n">
        <v>44769</v>
      </c>
      <c r="N144" s="36" t="n">
        <v>449.97</v>
      </c>
    </row>
    <row r="145" customFormat="false" ht="15" hidden="false" customHeight="true" outlineLevel="0" collapsed="false">
      <c r="A145" s="31" t="s">
        <v>313</v>
      </c>
      <c r="B145" s="32" t="n">
        <v>45607</v>
      </c>
      <c r="C145" s="31" t="s">
        <v>70</v>
      </c>
      <c r="D145" s="31" t="s">
        <v>71</v>
      </c>
      <c r="E145" s="31" t="s">
        <v>81</v>
      </c>
      <c r="F145" s="31" t="s">
        <v>41</v>
      </c>
      <c r="G145" s="31" t="s">
        <v>42</v>
      </c>
      <c r="H145" s="31" t="n">
        <v>5</v>
      </c>
      <c r="I145" s="33" t="n">
        <v>59.99</v>
      </c>
      <c r="J145" s="31" t="s">
        <v>82</v>
      </c>
      <c r="K145" s="31" t="s">
        <v>25</v>
      </c>
      <c r="L145" s="31" t="s">
        <v>22</v>
      </c>
      <c r="M145" s="32" t="n">
        <v>44694</v>
      </c>
      <c r="N145" s="33" t="n">
        <v>299.95</v>
      </c>
    </row>
    <row r="146" customFormat="false" ht="15" hidden="false" customHeight="true" outlineLevel="0" collapsed="false">
      <c r="A146" s="34" t="s">
        <v>314</v>
      </c>
      <c r="B146" s="35" t="n">
        <v>45607</v>
      </c>
      <c r="C146" s="34" t="s">
        <v>134</v>
      </c>
      <c r="D146" s="34" t="s">
        <v>135</v>
      </c>
      <c r="E146" s="34" t="s">
        <v>72</v>
      </c>
      <c r="F146" s="34" t="s">
        <v>39</v>
      </c>
      <c r="G146" s="34" t="s">
        <v>36</v>
      </c>
      <c r="H146" s="34" t="n">
        <v>4</v>
      </c>
      <c r="I146" s="36" t="n">
        <v>249.99</v>
      </c>
      <c r="J146" s="34" t="s">
        <v>77</v>
      </c>
      <c r="K146" s="34" t="s">
        <v>25</v>
      </c>
      <c r="L146" s="34" t="s">
        <v>19</v>
      </c>
      <c r="M146" s="35" t="n">
        <v>44659</v>
      </c>
      <c r="N146" s="36" t="n">
        <v>999.96</v>
      </c>
    </row>
    <row r="147" customFormat="false" ht="15" hidden="false" customHeight="true" outlineLevel="0" collapsed="false">
      <c r="A147" s="31" t="s">
        <v>315</v>
      </c>
      <c r="B147" s="32" t="n">
        <v>45608</v>
      </c>
      <c r="C147" s="31" t="s">
        <v>184</v>
      </c>
      <c r="D147" s="31" t="s">
        <v>185</v>
      </c>
      <c r="E147" s="31" t="s">
        <v>89</v>
      </c>
      <c r="F147" s="31" t="s">
        <v>44</v>
      </c>
      <c r="G147" s="31" t="s">
        <v>45</v>
      </c>
      <c r="H147" s="31" t="n">
        <v>5</v>
      </c>
      <c r="I147" s="33" t="n">
        <v>149.99</v>
      </c>
      <c r="J147" s="31" t="s">
        <v>82</v>
      </c>
      <c r="K147" s="31" t="s">
        <v>27</v>
      </c>
      <c r="L147" s="31" t="s">
        <v>74</v>
      </c>
      <c r="M147" s="32" t="n">
        <v>44901</v>
      </c>
      <c r="N147" s="33" t="n">
        <v>749.95</v>
      </c>
    </row>
    <row r="148" customFormat="false" ht="15" hidden="false" customHeight="true" outlineLevel="0" collapsed="false">
      <c r="A148" s="34" t="s">
        <v>316</v>
      </c>
      <c r="B148" s="35" t="n">
        <v>45608</v>
      </c>
      <c r="C148" s="34" t="s">
        <v>120</v>
      </c>
      <c r="D148" s="34" t="s">
        <v>121</v>
      </c>
      <c r="E148" s="34" t="s">
        <v>81</v>
      </c>
      <c r="F148" s="34" t="s">
        <v>41</v>
      </c>
      <c r="G148" s="34" t="s">
        <v>42</v>
      </c>
      <c r="H148" s="34" t="n">
        <v>3</v>
      </c>
      <c r="I148" s="36" t="n">
        <v>59.99</v>
      </c>
      <c r="J148" s="34" t="s">
        <v>98</v>
      </c>
      <c r="K148" s="34" t="s">
        <v>20</v>
      </c>
      <c r="L148" s="34" t="s">
        <v>19</v>
      </c>
      <c r="M148" s="35" t="n">
        <v>45260</v>
      </c>
      <c r="N148" s="36" t="n">
        <v>179.97</v>
      </c>
    </row>
    <row r="149" customFormat="false" ht="15" hidden="false" customHeight="true" outlineLevel="0" collapsed="false">
      <c r="A149" s="31" t="s">
        <v>317</v>
      </c>
      <c r="B149" s="32" t="n">
        <v>45613</v>
      </c>
      <c r="C149" s="31" t="s">
        <v>264</v>
      </c>
      <c r="D149" s="31" t="s">
        <v>265</v>
      </c>
      <c r="E149" s="31" t="s">
        <v>89</v>
      </c>
      <c r="F149" s="31" t="s">
        <v>44</v>
      </c>
      <c r="G149" s="31" t="s">
        <v>45</v>
      </c>
      <c r="H149" s="31" t="n">
        <v>5</v>
      </c>
      <c r="I149" s="33" t="n">
        <v>149.99</v>
      </c>
      <c r="J149" s="31" t="s">
        <v>73</v>
      </c>
      <c r="K149" s="31" t="s">
        <v>17</v>
      </c>
      <c r="L149" s="31" t="s">
        <v>74</v>
      </c>
      <c r="M149" s="32" t="n">
        <v>44869</v>
      </c>
      <c r="N149" s="33" t="n">
        <v>749.95</v>
      </c>
    </row>
    <row r="150" customFormat="false" ht="15" hidden="false" customHeight="true" outlineLevel="0" collapsed="false">
      <c r="A150" s="34" t="s">
        <v>318</v>
      </c>
      <c r="B150" s="35" t="n">
        <v>45613</v>
      </c>
      <c r="C150" s="34" t="s">
        <v>123</v>
      </c>
      <c r="D150" s="34" t="s">
        <v>18</v>
      </c>
      <c r="E150" s="34" t="s">
        <v>118</v>
      </c>
      <c r="F150" s="34" t="s">
        <v>37</v>
      </c>
      <c r="G150" s="34" t="s">
        <v>36</v>
      </c>
      <c r="H150" s="34" t="n">
        <v>2</v>
      </c>
      <c r="I150" s="36" t="n">
        <v>699.99</v>
      </c>
      <c r="J150" s="34" t="s">
        <v>82</v>
      </c>
      <c r="K150" s="34" t="s">
        <v>25</v>
      </c>
      <c r="L150" s="34" t="s">
        <v>19</v>
      </c>
      <c r="M150" s="35" t="n">
        <v>44770</v>
      </c>
      <c r="N150" s="36" t="n">
        <v>1399.98</v>
      </c>
    </row>
    <row r="151" customFormat="false" ht="15" hidden="false" customHeight="true" outlineLevel="0" collapsed="false">
      <c r="A151" s="31" t="s">
        <v>319</v>
      </c>
      <c r="B151" s="32" t="n">
        <v>45617</v>
      </c>
      <c r="C151" s="31" t="s">
        <v>155</v>
      </c>
      <c r="D151" s="31" t="s">
        <v>21</v>
      </c>
      <c r="E151" s="31" t="s">
        <v>157</v>
      </c>
      <c r="F151" s="31" t="s">
        <v>47</v>
      </c>
      <c r="G151" s="31" t="s">
        <v>45</v>
      </c>
      <c r="H151" s="31" t="n">
        <v>4</v>
      </c>
      <c r="I151" s="33" t="n">
        <v>199.99</v>
      </c>
      <c r="J151" s="31" t="s">
        <v>98</v>
      </c>
      <c r="K151" s="31" t="s">
        <v>27</v>
      </c>
      <c r="L151" s="31" t="s">
        <v>22</v>
      </c>
      <c r="M151" s="32" t="n">
        <v>44427</v>
      </c>
      <c r="N151" s="33" t="n">
        <v>799.96</v>
      </c>
    </row>
    <row r="152" customFormat="false" ht="15" hidden="false" customHeight="true" outlineLevel="0" collapsed="false">
      <c r="A152" s="34" t="s">
        <v>320</v>
      </c>
      <c r="B152" s="35" t="n">
        <v>45619</v>
      </c>
      <c r="C152" s="34" t="s">
        <v>222</v>
      </c>
      <c r="D152" s="34" t="s">
        <v>223</v>
      </c>
      <c r="E152" s="34" t="s">
        <v>81</v>
      </c>
      <c r="F152" s="34" t="s">
        <v>41</v>
      </c>
      <c r="G152" s="34" t="s">
        <v>42</v>
      </c>
      <c r="H152" s="34" t="n">
        <v>1</v>
      </c>
      <c r="I152" s="36" t="n">
        <v>59.99</v>
      </c>
      <c r="J152" s="34" t="s">
        <v>98</v>
      </c>
      <c r="K152" s="34" t="s">
        <v>25</v>
      </c>
      <c r="L152" s="34" t="s">
        <v>19</v>
      </c>
      <c r="M152" s="35" t="n">
        <v>44560</v>
      </c>
      <c r="N152" s="36" t="n">
        <v>59.99</v>
      </c>
    </row>
    <row r="153" customFormat="false" ht="15" hidden="false" customHeight="true" outlineLevel="0" collapsed="false">
      <c r="A153" s="31" t="s">
        <v>321</v>
      </c>
      <c r="B153" s="32" t="n">
        <v>45619</v>
      </c>
      <c r="C153" s="31" t="s">
        <v>184</v>
      </c>
      <c r="D153" s="31" t="s">
        <v>185</v>
      </c>
      <c r="E153" s="31" t="s">
        <v>118</v>
      </c>
      <c r="F153" s="31" t="s">
        <v>37</v>
      </c>
      <c r="G153" s="31" t="s">
        <v>36</v>
      </c>
      <c r="H153" s="31" t="n">
        <v>3</v>
      </c>
      <c r="I153" s="33" t="n">
        <v>699.99</v>
      </c>
      <c r="J153" s="31" t="s">
        <v>82</v>
      </c>
      <c r="K153" s="31" t="s">
        <v>25</v>
      </c>
      <c r="L153" s="31" t="s">
        <v>19</v>
      </c>
      <c r="M153" s="32" t="n">
        <v>44583</v>
      </c>
      <c r="N153" s="33" t="n">
        <v>2099.97</v>
      </c>
    </row>
    <row r="154" customFormat="false" ht="15" hidden="false" customHeight="true" outlineLevel="0" collapsed="false">
      <c r="A154" s="34" t="s">
        <v>322</v>
      </c>
      <c r="B154" s="35" t="n">
        <v>45622</v>
      </c>
      <c r="C154" s="34" t="s">
        <v>323</v>
      </c>
      <c r="D154" s="34" t="s">
        <v>324</v>
      </c>
      <c r="E154" s="34" t="s">
        <v>72</v>
      </c>
      <c r="F154" s="34" t="s">
        <v>39</v>
      </c>
      <c r="G154" s="34" t="s">
        <v>36</v>
      </c>
      <c r="H154" s="34" t="n">
        <v>5</v>
      </c>
      <c r="I154" s="36" t="n">
        <v>249.99</v>
      </c>
      <c r="J154" s="34" t="s">
        <v>77</v>
      </c>
      <c r="K154" s="34" t="s">
        <v>17</v>
      </c>
      <c r="L154" s="34" t="s">
        <v>74</v>
      </c>
      <c r="M154" s="35" t="n">
        <v>44873</v>
      </c>
      <c r="N154" s="36" t="n">
        <v>1249.95</v>
      </c>
    </row>
    <row r="155" customFormat="false" ht="15" hidden="false" customHeight="true" outlineLevel="0" collapsed="false">
      <c r="A155" s="31" t="s">
        <v>325</v>
      </c>
      <c r="B155" s="32" t="n">
        <v>45623</v>
      </c>
      <c r="C155" s="31" t="s">
        <v>146</v>
      </c>
      <c r="D155" s="31" t="s">
        <v>147</v>
      </c>
      <c r="E155" s="31" t="s">
        <v>89</v>
      </c>
      <c r="F155" s="31" t="s">
        <v>44</v>
      </c>
      <c r="G155" s="31" t="s">
        <v>45</v>
      </c>
      <c r="H155" s="31" t="n">
        <v>2</v>
      </c>
      <c r="I155" s="33" t="n">
        <v>149.99</v>
      </c>
      <c r="J155" s="31" t="s">
        <v>73</v>
      </c>
      <c r="K155" s="31" t="s">
        <v>20</v>
      </c>
      <c r="L155" s="31" t="s">
        <v>19</v>
      </c>
      <c r="M155" s="32" t="n">
        <v>45101</v>
      </c>
      <c r="N155" s="33" t="n">
        <v>299.98</v>
      </c>
    </row>
    <row r="156" customFormat="false" ht="15" hidden="false" customHeight="true" outlineLevel="0" collapsed="false">
      <c r="A156" s="34" t="s">
        <v>326</v>
      </c>
      <c r="B156" s="35" t="n">
        <v>45627</v>
      </c>
      <c r="C156" s="34" t="s">
        <v>79</v>
      </c>
      <c r="D156" s="34" t="s">
        <v>80</v>
      </c>
      <c r="E156" s="34" t="s">
        <v>140</v>
      </c>
      <c r="F156" s="34" t="s">
        <v>46</v>
      </c>
      <c r="G156" s="34" t="s">
        <v>45</v>
      </c>
      <c r="H156" s="34" t="n">
        <v>3</v>
      </c>
      <c r="I156" s="36" t="n">
        <v>299.99</v>
      </c>
      <c r="J156" s="34" t="s">
        <v>73</v>
      </c>
      <c r="K156" s="34" t="s">
        <v>20</v>
      </c>
      <c r="L156" s="34" t="s">
        <v>22</v>
      </c>
      <c r="M156" s="35" t="n">
        <v>44659</v>
      </c>
      <c r="N156" s="36" t="n">
        <v>899.97</v>
      </c>
    </row>
    <row r="157" customFormat="false" ht="15" hidden="false" customHeight="true" outlineLevel="0" collapsed="false">
      <c r="A157" s="31" t="s">
        <v>327</v>
      </c>
      <c r="B157" s="32" t="n">
        <v>45627</v>
      </c>
      <c r="C157" s="31" t="s">
        <v>96</v>
      </c>
      <c r="D157" s="31" t="s">
        <v>97</v>
      </c>
      <c r="E157" s="31" t="s">
        <v>72</v>
      </c>
      <c r="F157" s="31" t="s">
        <v>39</v>
      </c>
      <c r="G157" s="31" t="s">
        <v>36</v>
      </c>
      <c r="H157" s="31" t="n">
        <v>5</v>
      </c>
      <c r="I157" s="33" t="n">
        <v>249.99</v>
      </c>
      <c r="J157" s="31" t="s">
        <v>73</v>
      </c>
      <c r="K157" s="31" t="s">
        <v>27</v>
      </c>
      <c r="L157" s="31" t="s">
        <v>22</v>
      </c>
      <c r="M157" s="32" t="n">
        <v>44485</v>
      </c>
      <c r="N157" s="33" t="n">
        <v>1249.95</v>
      </c>
    </row>
    <row r="158" customFormat="false" ht="15" hidden="false" customHeight="true" outlineLevel="0" collapsed="false">
      <c r="A158" s="34" t="s">
        <v>328</v>
      </c>
      <c r="B158" s="35" t="n">
        <v>45627</v>
      </c>
      <c r="C158" s="34" t="s">
        <v>76</v>
      </c>
      <c r="D158" s="34" t="s">
        <v>28</v>
      </c>
      <c r="E158" s="34" t="s">
        <v>94</v>
      </c>
      <c r="F158" s="34" t="s">
        <v>38</v>
      </c>
      <c r="G158" s="34" t="s">
        <v>36</v>
      </c>
      <c r="H158" s="34" t="n">
        <v>2</v>
      </c>
      <c r="I158" s="36" t="n">
        <v>149.99</v>
      </c>
      <c r="J158" s="34" t="s">
        <v>73</v>
      </c>
      <c r="K158" s="34" t="s">
        <v>20</v>
      </c>
      <c r="L158" s="34" t="s">
        <v>22</v>
      </c>
      <c r="M158" s="35" t="n">
        <v>44475</v>
      </c>
      <c r="N158" s="36" t="n">
        <v>299.98</v>
      </c>
    </row>
    <row r="159" customFormat="false" ht="15" hidden="false" customHeight="true" outlineLevel="0" collapsed="false">
      <c r="A159" s="31" t="s">
        <v>329</v>
      </c>
      <c r="B159" s="32" t="n">
        <v>45627</v>
      </c>
      <c r="C159" s="31" t="s">
        <v>123</v>
      </c>
      <c r="D159" s="31" t="s">
        <v>18</v>
      </c>
      <c r="E159" s="31" t="s">
        <v>118</v>
      </c>
      <c r="F159" s="31" t="s">
        <v>37</v>
      </c>
      <c r="G159" s="31" t="s">
        <v>36</v>
      </c>
      <c r="H159" s="31" t="n">
        <v>5</v>
      </c>
      <c r="I159" s="33" t="n">
        <v>699.99</v>
      </c>
      <c r="J159" s="31" t="s">
        <v>98</v>
      </c>
      <c r="K159" s="31" t="s">
        <v>25</v>
      </c>
      <c r="L159" s="31" t="s">
        <v>19</v>
      </c>
      <c r="M159" s="32" t="n">
        <v>44944</v>
      </c>
      <c r="N159" s="33" t="n">
        <v>3499.95</v>
      </c>
    </row>
    <row r="160" customFormat="false" ht="15" hidden="false" customHeight="true" outlineLevel="0" collapsed="false">
      <c r="A160" s="34" t="s">
        <v>330</v>
      </c>
      <c r="B160" s="35" t="n">
        <v>45629</v>
      </c>
      <c r="C160" s="34" t="s">
        <v>282</v>
      </c>
      <c r="D160" s="34" t="s">
        <v>283</v>
      </c>
      <c r="E160" s="34" t="s">
        <v>72</v>
      </c>
      <c r="F160" s="34" t="s">
        <v>39</v>
      </c>
      <c r="G160" s="34" t="s">
        <v>36</v>
      </c>
      <c r="H160" s="34" t="n">
        <v>4</v>
      </c>
      <c r="I160" s="36" t="n">
        <v>249.99</v>
      </c>
      <c r="J160" s="34" t="s">
        <v>82</v>
      </c>
      <c r="K160" s="34" t="s">
        <v>23</v>
      </c>
      <c r="L160" s="34" t="s">
        <v>22</v>
      </c>
      <c r="M160" s="35" t="n">
        <v>45098</v>
      </c>
      <c r="N160" s="36" t="n">
        <v>999.96</v>
      </c>
    </row>
    <row r="161" customFormat="false" ht="15" hidden="false" customHeight="true" outlineLevel="0" collapsed="false">
      <c r="A161" s="31" t="s">
        <v>331</v>
      </c>
      <c r="B161" s="32" t="n">
        <v>45630</v>
      </c>
      <c r="C161" s="31" t="s">
        <v>91</v>
      </c>
      <c r="D161" s="31" t="s">
        <v>92</v>
      </c>
      <c r="E161" s="31" t="s">
        <v>118</v>
      </c>
      <c r="F161" s="31" t="s">
        <v>37</v>
      </c>
      <c r="G161" s="31" t="s">
        <v>36</v>
      </c>
      <c r="H161" s="31" t="n">
        <v>4</v>
      </c>
      <c r="I161" s="33" t="n">
        <v>699.99</v>
      </c>
      <c r="J161" s="31" t="s">
        <v>77</v>
      </c>
      <c r="K161" s="31" t="s">
        <v>17</v>
      </c>
      <c r="L161" s="31" t="s">
        <v>22</v>
      </c>
      <c r="M161" s="32" t="n">
        <v>44703</v>
      </c>
      <c r="N161" s="33" t="n">
        <v>2799.96</v>
      </c>
    </row>
    <row r="162" customFormat="false" ht="15" hidden="false" customHeight="true" outlineLevel="0" collapsed="false">
      <c r="A162" s="34" t="s">
        <v>332</v>
      </c>
      <c r="B162" s="35" t="n">
        <v>45635</v>
      </c>
      <c r="C162" s="34" t="s">
        <v>142</v>
      </c>
      <c r="D162" s="34" t="s">
        <v>143</v>
      </c>
      <c r="E162" s="34" t="s">
        <v>72</v>
      </c>
      <c r="F162" s="34" t="s">
        <v>39</v>
      </c>
      <c r="G162" s="34" t="s">
        <v>36</v>
      </c>
      <c r="H162" s="34" t="n">
        <v>2</v>
      </c>
      <c r="I162" s="36" t="n">
        <v>249.99</v>
      </c>
      <c r="J162" s="34" t="s">
        <v>77</v>
      </c>
      <c r="K162" s="34" t="s">
        <v>27</v>
      </c>
      <c r="L162" s="34" t="s">
        <v>22</v>
      </c>
      <c r="M162" s="35" t="n">
        <v>44396</v>
      </c>
      <c r="N162" s="36" t="n">
        <v>499.98</v>
      </c>
    </row>
    <row r="163" customFormat="false" ht="15" hidden="false" customHeight="true" outlineLevel="0" collapsed="false">
      <c r="A163" s="31" t="s">
        <v>333</v>
      </c>
      <c r="B163" s="32" t="n">
        <v>45635</v>
      </c>
      <c r="C163" s="31" t="s">
        <v>334</v>
      </c>
      <c r="D163" s="31" t="s">
        <v>335</v>
      </c>
      <c r="E163" s="31" t="s">
        <v>81</v>
      </c>
      <c r="F163" s="31" t="s">
        <v>41</v>
      </c>
      <c r="G163" s="31" t="s">
        <v>42</v>
      </c>
      <c r="H163" s="31" t="n">
        <v>3</v>
      </c>
      <c r="I163" s="33" t="n">
        <v>59.99</v>
      </c>
      <c r="J163" s="31" t="s">
        <v>73</v>
      </c>
      <c r="K163" s="31" t="s">
        <v>27</v>
      </c>
      <c r="L163" s="31" t="s">
        <v>22</v>
      </c>
      <c r="M163" s="32" t="n">
        <v>45052</v>
      </c>
      <c r="N163" s="33" t="n">
        <v>179.97</v>
      </c>
    </row>
    <row r="164" customFormat="false" ht="15" hidden="false" customHeight="true" outlineLevel="0" collapsed="false">
      <c r="A164" s="34" t="s">
        <v>336</v>
      </c>
      <c r="B164" s="35" t="n">
        <v>45635</v>
      </c>
      <c r="C164" s="34" t="s">
        <v>171</v>
      </c>
      <c r="D164" s="34" t="s">
        <v>172</v>
      </c>
      <c r="E164" s="34" t="s">
        <v>148</v>
      </c>
      <c r="F164" s="34" t="s">
        <v>43</v>
      </c>
      <c r="G164" s="34" t="s">
        <v>42</v>
      </c>
      <c r="H164" s="34" t="n">
        <v>4</v>
      </c>
      <c r="I164" s="36" t="n">
        <v>79.99</v>
      </c>
      <c r="J164" s="34" t="s">
        <v>98</v>
      </c>
      <c r="K164" s="34" t="s">
        <v>23</v>
      </c>
      <c r="L164" s="34" t="s">
        <v>19</v>
      </c>
      <c r="M164" s="35" t="n">
        <v>44921</v>
      </c>
      <c r="N164" s="36" t="n">
        <v>319.96</v>
      </c>
    </row>
    <row r="165" customFormat="false" ht="15" hidden="false" customHeight="true" outlineLevel="0" collapsed="false">
      <c r="A165" s="31" t="s">
        <v>337</v>
      </c>
      <c r="B165" s="32" t="n">
        <v>45636</v>
      </c>
      <c r="C165" s="31" t="s">
        <v>152</v>
      </c>
      <c r="D165" s="31" t="s">
        <v>153</v>
      </c>
      <c r="E165" s="31" t="s">
        <v>148</v>
      </c>
      <c r="F165" s="31" t="s">
        <v>43</v>
      </c>
      <c r="G165" s="31" t="s">
        <v>42</v>
      </c>
      <c r="H165" s="31" t="n">
        <v>3</v>
      </c>
      <c r="I165" s="33" t="n">
        <v>79.99</v>
      </c>
      <c r="J165" s="31" t="s">
        <v>98</v>
      </c>
      <c r="K165" s="31" t="s">
        <v>23</v>
      </c>
      <c r="L165" s="31" t="s">
        <v>19</v>
      </c>
      <c r="M165" s="32" t="n">
        <v>44779</v>
      </c>
      <c r="N165" s="33" t="n">
        <v>239.97</v>
      </c>
    </row>
    <row r="166" customFormat="false" ht="15" hidden="false" customHeight="true" outlineLevel="0" collapsed="false">
      <c r="A166" s="34" t="s">
        <v>338</v>
      </c>
      <c r="B166" s="35" t="n">
        <v>45638</v>
      </c>
      <c r="C166" s="34" t="s">
        <v>110</v>
      </c>
      <c r="D166" s="34" t="s">
        <v>111</v>
      </c>
      <c r="E166" s="34" t="s">
        <v>102</v>
      </c>
      <c r="F166" s="34" t="s">
        <v>35</v>
      </c>
      <c r="G166" s="34" t="s">
        <v>36</v>
      </c>
      <c r="H166" s="34" t="n">
        <v>2</v>
      </c>
      <c r="I166" s="36" t="n">
        <v>899.99</v>
      </c>
      <c r="J166" s="34" t="s">
        <v>73</v>
      </c>
      <c r="K166" s="34" t="s">
        <v>17</v>
      </c>
      <c r="L166" s="34" t="s">
        <v>74</v>
      </c>
      <c r="M166" s="35" t="n">
        <v>44406</v>
      </c>
      <c r="N166" s="36" t="n">
        <v>1799.98</v>
      </c>
    </row>
    <row r="167" customFormat="false" ht="15" hidden="false" customHeight="true" outlineLevel="0" collapsed="false">
      <c r="A167" s="31" t="s">
        <v>339</v>
      </c>
      <c r="B167" s="32" t="n">
        <v>45641</v>
      </c>
      <c r="C167" s="31" t="s">
        <v>212</v>
      </c>
      <c r="D167" s="31" t="s">
        <v>213</v>
      </c>
      <c r="E167" s="31" t="s">
        <v>89</v>
      </c>
      <c r="F167" s="31" t="s">
        <v>44</v>
      </c>
      <c r="G167" s="31" t="s">
        <v>45</v>
      </c>
      <c r="H167" s="31" t="n">
        <v>1</v>
      </c>
      <c r="I167" s="33" t="n">
        <v>149.99</v>
      </c>
      <c r="J167" s="31" t="s">
        <v>98</v>
      </c>
      <c r="K167" s="31" t="s">
        <v>23</v>
      </c>
      <c r="L167" s="31" t="s">
        <v>19</v>
      </c>
      <c r="M167" s="32" t="n">
        <v>45200</v>
      </c>
      <c r="N167" s="33" t="n">
        <v>149.99</v>
      </c>
    </row>
    <row r="168" customFormat="false" ht="15" hidden="false" customHeight="true" outlineLevel="0" collapsed="false">
      <c r="A168" s="34" t="s">
        <v>340</v>
      </c>
      <c r="B168" s="35" t="n">
        <v>45641</v>
      </c>
      <c r="C168" s="34" t="s">
        <v>168</v>
      </c>
      <c r="D168" s="34" t="s">
        <v>169</v>
      </c>
      <c r="E168" s="34" t="s">
        <v>140</v>
      </c>
      <c r="F168" s="34" t="s">
        <v>46</v>
      </c>
      <c r="G168" s="34" t="s">
        <v>45</v>
      </c>
      <c r="H168" s="34" t="n">
        <v>2</v>
      </c>
      <c r="I168" s="36" t="n">
        <v>299.99</v>
      </c>
      <c r="J168" s="34" t="s">
        <v>73</v>
      </c>
      <c r="K168" s="34" t="s">
        <v>23</v>
      </c>
      <c r="L168" s="34" t="s">
        <v>22</v>
      </c>
      <c r="M168" s="35" t="n">
        <v>44724</v>
      </c>
      <c r="N168" s="36" t="n">
        <v>599.98</v>
      </c>
    </row>
    <row r="169" customFormat="false" ht="15" hidden="false" customHeight="true" outlineLevel="0" collapsed="false">
      <c r="A169" s="31" t="s">
        <v>341</v>
      </c>
      <c r="B169" s="32" t="n">
        <v>45644</v>
      </c>
      <c r="C169" s="31" t="s">
        <v>162</v>
      </c>
      <c r="D169" s="31" t="s">
        <v>163</v>
      </c>
      <c r="E169" s="31" t="s">
        <v>81</v>
      </c>
      <c r="F169" s="31" t="s">
        <v>41</v>
      </c>
      <c r="G169" s="31" t="s">
        <v>42</v>
      </c>
      <c r="H169" s="31" t="n">
        <v>2</v>
      </c>
      <c r="I169" s="33" t="n">
        <v>59.99</v>
      </c>
      <c r="J169" s="31" t="s">
        <v>73</v>
      </c>
      <c r="K169" s="31" t="s">
        <v>25</v>
      </c>
      <c r="L169" s="31" t="s">
        <v>74</v>
      </c>
      <c r="M169" s="32" t="n">
        <v>45191</v>
      </c>
      <c r="N169" s="33" t="n">
        <v>119.98</v>
      </c>
    </row>
    <row r="170" customFormat="false" ht="15" hidden="false" customHeight="true" outlineLevel="0" collapsed="false">
      <c r="A170" s="34" t="s">
        <v>342</v>
      </c>
      <c r="B170" s="35" t="n">
        <v>45645</v>
      </c>
      <c r="C170" s="34" t="s">
        <v>212</v>
      </c>
      <c r="D170" s="34" t="s">
        <v>213</v>
      </c>
      <c r="E170" s="34" t="s">
        <v>150</v>
      </c>
      <c r="F170" s="34" t="s">
        <v>40</v>
      </c>
      <c r="G170" s="34" t="s">
        <v>36</v>
      </c>
      <c r="H170" s="34" t="n">
        <v>1</v>
      </c>
      <c r="I170" s="36" t="n">
        <v>89.99</v>
      </c>
      <c r="J170" s="34" t="s">
        <v>98</v>
      </c>
      <c r="K170" s="34" t="s">
        <v>27</v>
      </c>
      <c r="L170" s="34" t="s">
        <v>19</v>
      </c>
      <c r="M170" s="35" t="n">
        <v>44760</v>
      </c>
      <c r="N170" s="36" t="n">
        <v>89.99</v>
      </c>
    </row>
    <row r="171" customFormat="false" ht="15" hidden="false" customHeight="true" outlineLevel="0" collapsed="false">
      <c r="A171" s="31" t="s">
        <v>343</v>
      </c>
      <c r="B171" s="32" t="n">
        <v>45645</v>
      </c>
      <c r="C171" s="31" t="s">
        <v>177</v>
      </c>
      <c r="D171" s="31" t="s">
        <v>178</v>
      </c>
      <c r="E171" s="31" t="s">
        <v>102</v>
      </c>
      <c r="F171" s="31" t="s">
        <v>35</v>
      </c>
      <c r="G171" s="31" t="s">
        <v>36</v>
      </c>
      <c r="H171" s="31" t="n">
        <v>5</v>
      </c>
      <c r="I171" s="33" t="n">
        <v>899.99</v>
      </c>
      <c r="J171" s="31" t="s">
        <v>98</v>
      </c>
      <c r="K171" s="31" t="s">
        <v>23</v>
      </c>
      <c r="L171" s="31" t="s">
        <v>19</v>
      </c>
      <c r="M171" s="32" t="n">
        <v>44625</v>
      </c>
      <c r="N171" s="33" t="n">
        <v>4499.95</v>
      </c>
    </row>
    <row r="172" customFormat="false" ht="15" hidden="false" customHeight="true" outlineLevel="0" collapsed="false">
      <c r="A172" s="34" t="s">
        <v>344</v>
      </c>
      <c r="B172" s="35" t="n">
        <v>45646</v>
      </c>
      <c r="C172" s="34" t="s">
        <v>87</v>
      </c>
      <c r="D172" s="34" t="s">
        <v>88</v>
      </c>
      <c r="E172" s="34" t="s">
        <v>89</v>
      </c>
      <c r="F172" s="34" t="s">
        <v>44</v>
      </c>
      <c r="G172" s="34" t="s">
        <v>45</v>
      </c>
      <c r="H172" s="34" t="n">
        <v>2</v>
      </c>
      <c r="I172" s="36" t="n">
        <v>149.99</v>
      </c>
      <c r="J172" s="34" t="s">
        <v>73</v>
      </c>
      <c r="K172" s="34" t="s">
        <v>20</v>
      </c>
      <c r="L172" s="34" t="s">
        <v>74</v>
      </c>
      <c r="M172" s="35" t="n">
        <v>45239</v>
      </c>
      <c r="N172" s="36" t="n">
        <v>299.98</v>
      </c>
    </row>
    <row r="173" customFormat="false" ht="15" hidden="false" customHeight="true" outlineLevel="0" collapsed="false">
      <c r="A173" s="31" t="s">
        <v>345</v>
      </c>
      <c r="B173" s="32" t="n">
        <v>45648</v>
      </c>
      <c r="C173" s="31" t="s">
        <v>146</v>
      </c>
      <c r="D173" s="31" t="s">
        <v>147</v>
      </c>
      <c r="E173" s="31" t="s">
        <v>94</v>
      </c>
      <c r="F173" s="31" t="s">
        <v>38</v>
      </c>
      <c r="G173" s="31" t="s">
        <v>36</v>
      </c>
      <c r="H173" s="31" t="n">
        <v>2</v>
      </c>
      <c r="I173" s="33" t="n">
        <v>149.99</v>
      </c>
      <c r="J173" s="31" t="s">
        <v>98</v>
      </c>
      <c r="K173" s="31" t="s">
        <v>25</v>
      </c>
      <c r="L173" s="31" t="s">
        <v>22</v>
      </c>
      <c r="M173" s="32" t="n">
        <v>45280</v>
      </c>
      <c r="N173" s="33" t="n">
        <v>299.98</v>
      </c>
    </row>
    <row r="174" customFormat="false" ht="15" hidden="false" customHeight="true" outlineLevel="0" collapsed="false">
      <c r="A174" s="34" t="s">
        <v>346</v>
      </c>
      <c r="B174" s="35" t="n">
        <v>45648</v>
      </c>
      <c r="C174" s="34" t="s">
        <v>212</v>
      </c>
      <c r="D174" s="34" t="s">
        <v>213</v>
      </c>
      <c r="E174" s="34" t="s">
        <v>89</v>
      </c>
      <c r="F174" s="34" t="s">
        <v>44</v>
      </c>
      <c r="G174" s="34" t="s">
        <v>45</v>
      </c>
      <c r="H174" s="34" t="n">
        <v>3</v>
      </c>
      <c r="I174" s="36" t="n">
        <v>149.99</v>
      </c>
      <c r="J174" s="34" t="s">
        <v>98</v>
      </c>
      <c r="K174" s="34" t="s">
        <v>17</v>
      </c>
      <c r="L174" s="34" t="s">
        <v>19</v>
      </c>
      <c r="M174" s="35" t="n">
        <v>44522</v>
      </c>
      <c r="N174" s="36" t="n">
        <v>449.97</v>
      </c>
    </row>
    <row r="175" customFormat="false" ht="15" hidden="false" customHeight="true" outlineLevel="0" collapsed="false">
      <c r="A175" s="31" t="s">
        <v>347</v>
      </c>
      <c r="B175" s="32" t="n">
        <v>45649</v>
      </c>
      <c r="C175" s="31" t="s">
        <v>79</v>
      </c>
      <c r="D175" s="31" t="s">
        <v>80</v>
      </c>
      <c r="E175" s="31" t="s">
        <v>140</v>
      </c>
      <c r="F175" s="31" t="s">
        <v>46</v>
      </c>
      <c r="G175" s="31" t="s">
        <v>45</v>
      </c>
      <c r="H175" s="31" t="n">
        <v>2</v>
      </c>
      <c r="I175" s="33" t="n">
        <v>299.99</v>
      </c>
      <c r="J175" s="31" t="s">
        <v>82</v>
      </c>
      <c r="K175" s="31" t="s">
        <v>20</v>
      </c>
      <c r="L175" s="31" t="s">
        <v>74</v>
      </c>
      <c r="M175" s="32" t="n">
        <v>44721</v>
      </c>
      <c r="N175" s="33" t="n">
        <v>599.98</v>
      </c>
    </row>
    <row r="176" customFormat="false" ht="15" hidden="false" customHeight="true" outlineLevel="0" collapsed="false">
      <c r="A176" s="34" t="s">
        <v>348</v>
      </c>
      <c r="B176" s="35" t="n">
        <v>45654</v>
      </c>
      <c r="C176" s="34" t="s">
        <v>87</v>
      </c>
      <c r="D176" s="34" t="s">
        <v>88</v>
      </c>
      <c r="E176" s="34" t="s">
        <v>140</v>
      </c>
      <c r="F176" s="34" t="s">
        <v>46</v>
      </c>
      <c r="G176" s="34" t="s">
        <v>45</v>
      </c>
      <c r="H176" s="34" t="n">
        <v>2</v>
      </c>
      <c r="I176" s="36" t="n">
        <v>299.99</v>
      </c>
      <c r="J176" s="34" t="s">
        <v>73</v>
      </c>
      <c r="K176" s="34" t="s">
        <v>25</v>
      </c>
      <c r="L176" s="34" t="s">
        <v>74</v>
      </c>
      <c r="M176" s="35" t="n">
        <v>44771</v>
      </c>
      <c r="N176" s="36" t="n">
        <v>599.98</v>
      </c>
    </row>
    <row r="177" customFormat="false" ht="15" hidden="false" customHeight="true" outlineLevel="0" collapsed="false">
      <c r="A177" s="31" t="s">
        <v>349</v>
      </c>
      <c r="B177" s="32" t="n">
        <v>45654</v>
      </c>
      <c r="C177" s="31" t="s">
        <v>152</v>
      </c>
      <c r="D177" s="31" t="s">
        <v>153</v>
      </c>
      <c r="E177" s="31" t="s">
        <v>157</v>
      </c>
      <c r="F177" s="31" t="s">
        <v>47</v>
      </c>
      <c r="G177" s="31" t="s">
        <v>45</v>
      </c>
      <c r="H177" s="31" t="n">
        <v>4</v>
      </c>
      <c r="I177" s="33" t="n">
        <v>199.99</v>
      </c>
      <c r="J177" s="31" t="s">
        <v>77</v>
      </c>
      <c r="K177" s="31" t="s">
        <v>27</v>
      </c>
      <c r="L177" s="31" t="s">
        <v>74</v>
      </c>
      <c r="M177" s="32" t="n">
        <v>44523</v>
      </c>
      <c r="N177" s="33" t="n">
        <v>799.96</v>
      </c>
    </row>
    <row r="178" customFormat="false" ht="15" hidden="false" customHeight="true" outlineLevel="0" collapsed="false">
      <c r="A178" s="34" t="s">
        <v>350</v>
      </c>
      <c r="B178" s="35" t="n">
        <v>45655</v>
      </c>
      <c r="C178" s="34" t="s">
        <v>100</v>
      </c>
      <c r="D178" s="34" t="s">
        <v>101</v>
      </c>
      <c r="E178" s="34" t="s">
        <v>150</v>
      </c>
      <c r="F178" s="34" t="s">
        <v>40</v>
      </c>
      <c r="G178" s="34" t="s">
        <v>36</v>
      </c>
      <c r="H178" s="34" t="n">
        <v>1</v>
      </c>
      <c r="I178" s="36" t="n">
        <v>89.99</v>
      </c>
      <c r="J178" s="34" t="s">
        <v>77</v>
      </c>
      <c r="K178" s="34" t="s">
        <v>20</v>
      </c>
      <c r="L178" s="34" t="s">
        <v>22</v>
      </c>
      <c r="M178" s="35" t="n">
        <v>44591</v>
      </c>
      <c r="N178" s="36" t="n">
        <v>89.99</v>
      </c>
    </row>
    <row r="179" customFormat="false" ht="15" hidden="false" customHeight="true" outlineLevel="0" collapsed="false">
      <c r="A179" s="31" t="s">
        <v>351</v>
      </c>
      <c r="B179" s="32" t="n">
        <v>45655</v>
      </c>
      <c r="C179" s="31" t="s">
        <v>142</v>
      </c>
      <c r="D179" s="31" t="s">
        <v>143</v>
      </c>
      <c r="E179" s="31" t="s">
        <v>89</v>
      </c>
      <c r="F179" s="31" t="s">
        <v>44</v>
      </c>
      <c r="G179" s="31" t="s">
        <v>45</v>
      </c>
      <c r="H179" s="31" t="n">
        <v>5</v>
      </c>
      <c r="I179" s="33" t="n">
        <v>149.99</v>
      </c>
      <c r="J179" s="31" t="s">
        <v>73</v>
      </c>
      <c r="K179" s="31" t="s">
        <v>27</v>
      </c>
      <c r="L179" s="31" t="s">
        <v>22</v>
      </c>
      <c r="M179" s="32" t="n">
        <v>45347</v>
      </c>
      <c r="N179" s="33" t="n">
        <v>749.95</v>
      </c>
    </row>
    <row r="180" customFormat="false" ht="15" hidden="false" customHeight="true" outlineLevel="0" collapsed="false">
      <c r="A180" s="34" t="s">
        <v>352</v>
      </c>
      <c r="B180" s="35" t="n">
        <v>45657</v>
      </c>
      <c r="C180" s="34" t="s">
        <v>123</v>
      </c>
      <c r="D180" s="34" t="s">
        <v>18</v>
      </c>
      <c r="E180" s="34" t="s">
        <v>102</v>
      </c>
      <c r="F180" s="34" t="s">
        <v>35</v>
      </c>
      <c r="G180" s="34" t="s">
        <v>36</v>
      </c>
      <c r="H180" s="34" t="n">
        <v>1</v>
      </c>
      <c r="I180" s="36" t="n">
        <v>899.99</v>
      </c>
      <c r="J180" s="34" t="s">
        <v>82</v>
      </c>
      <c r="K180" s="34" t="s">
        <v>17</v>
      </c>
      <c r="L180" s="34" t="s">
        <v>22</v>
      </c>
      <c r="M180" s="35" t="n">
        <v>45050</v>
      </c>
      <c r="N180" s="36" t="n">
        <v>899.99</v>
      </c>
    </row>
    <row r="181" customFormat="false" ht="15" hidden="false" customHeight="true" outlineLevel="0" collapsed="false">
      <c r="A181" s="31" t="s">
        <v>353</v>
      </c>
      <c r="B181" s="32" t="n">
        <v>45660</v>
      </c>
      <c r="C181" s="31" t="s">
        <v>177</v>
      </c>
      <c r="D181" s="31" t="s">
        <v>178</v>
      </c>
      <c r="E181" s="31" t="s">
        <v>150</v>
      </c>
      <c r="F181" s="31" t="s">
        <v>40</v>
      </c>
      <c r="G181" s="31" t="s">
        <v>36</v>
      </c>
      <c r="H181" s="31" t="n">
        <v>2</v>
      </c>
      <c r="I181" s="33" t="n">
        <v>89.99</v>
      </c>
      <c r="J181" s="31" t="s">
        <v>77</v>
      </c>
      <c r="K181" s="31" t="s">
        <v>20</v>
      </c>
      <c r="L181" s="31" t="s">
        <v>22</v>
      </c>
      <c r="M181" s="32" t="n">
        <v>44564</v>
      </c>
      <c r="N181" s="33" t="n">
        <v>179.98</v>
      </c>
    </row>
    <row r="182" customFormat="false" ht="15" hidden="false" customHeight="true" outlineLevel="0" collapsed="false">
      <c r="A182" s="34" t="s">
        <v>354</v>
      </c>
      <c r="B182" s="35" t="n">
        <v>45661</v>
      </c>
      <c r="C182" s="34" t="s">
        <v>355</v>
      </c>
      <c r="D182" s="34" t="s">
        <v>356</v>
      </c>
      <c r="E182" s="34" t="s">
        <v>102</v>
      </c>
      <c r="F182" s="34" t="s">
        <v>35</v>
      </c>
      <c r="G182" s="34" t="s">
        <v>36</v>
      </c>
      <c r="H182" s="34" t="n">
        <v>1</v>
      </c>
      <c r="I182" s="36" t="n">
        <v>899.99</v>
      </c>
      <c r="J182" s="34" t="s">
        <v>82</v>
      </c>
      <c r="K182" s="34" t="s">
        <v>17</v>
      </c>
      <c r="L182" s="34" t="s">
        <v>19</v>
      </c>
      <c r="M182" s="35" t="n">
        <v>44752</v>
      </c>
      <c r="N182" s="36" t="n">
        <v>899.99</v>
      </c>
    </row>
    <row r="183" customFormat="false" ht="15" hidden="false" customHeight="true" outlineLevel="0" collapsed="false">
      <c r="A183" s="31" t="s">
        <v>357</v>
      </c>
      <c r="B183" s="32" t="n">
        <v>45663</v>
      </c>
      <c r="C183" s="31" t="s">
        <v>159</v>
      </c>
      <c r="D183" s="31" t="s">
        <v>160</v>
      </c>
      <c r="E183" s="31" t="s">
        <v>94</v>
      </c>
      <c r="F183" s="31" t="s">
        <v>38</v>
      </c>
      <c r="G183" s="31" t="s">
        <v>36</v>
      </c>
      <c r="H183" s="31" t="n">
        <v>5</v>
      </c>
      <c r="I183" s="33" t="n">
        <v>149.99</v>
      </c>
      <c r="J183" s="31" t="s">
        <v>82</v>
      </c>
      <c r="K183" s="31" t="s">
        <v>23</v>
      </c>
      <c r="L183" s="31" t="s">
        <v>22</v>
      </c>
      <c r="M183" s="32" t="n">
        <v>44824</v>
      </c>
      <c r="N183" s="33" t="n">
        <v>749.95</v>
      </c>
    </row>
    <row r="184" customFormat="false" ht="15" hidden="false" customHeight="true" outlineLevel="0" collapsed="false">
      <c r="A184" s="34" t="s">
        <v>358</v>
      </c>
      <c r="B184" s="35" t="n">
        <v>45663</v>
      </c>
      <c r="C184" s="34" t="s">
        <v>87</v>
      </c>
      <c r="D184" s="34" t="s">
        <v>88</v>
      </c>
      <c r="E184" s="34" t="s">
        <v>140</v>
      </c>
      <c r="F184" s="34" t="s">
        <v>46</v>
      </c>
      <c r="G184" s="34" t="s">
        <v>45</v>
      </c>
      <c r="H184" s="34" t="n">
        <v>3</v>
      </c>
      <c r="I184" s="36" t="n">
        <v>299.99</v>
      </c>
      <c r="J184" s="34" t="s">
        <v>73</v>
      </c>
      <c r="K184" s="34" t="s">
        <v>20</v>
      </c>
      <c r="L184" s="34" t="s">
        <v>19</v>
      </c>
      <c r="M184" s="35" t="n">
        <v>44422</v>
      </c>
      <c r="N184" s="36" t="n">
        <v>899.97</v>
      </c>
    </row>
    <row r="185" customFormat="false" ht="15" hidden="false" customHeight="true" outlineLevel="0" collapsed="false">
      <c r="A185" s="31" t="s">
        <v>359</v>
      </c>
      <c r="B185" s="32" t="n">
        <v>45666</v>
      </c>
      <c r="C185" s="31" t="s">
        <v>104</v>
      </c>
      <c r="D185" s="31" t="s">
        <v>24</v>
      </c>
      <c r="E185" s="31" t="s">
        <v>118</v>
      </c>
      <c r="F185" s="31" t="s">
        <v>37</v>
      </c>
      <c r="G185" s="31" t="s">
        <v>36</v>
      </c>
      <c r="H185" s="31" t="n">
        <v>3</v>
      </c>
      <c r="I185" s="33" t="n">
        <v>699.99</v>
      </c>
      <c r="J185" s="31" t="s">
        <v>77</v>
      </c>
      <c r="K185" s="31" t="s">
        <v>27</v>
      </c>
      <c r="L185" s="31" t="s">
        <v>22</v>
      </c>
      <c r="M185" s="32" t="n">
        <v>45105</v>
      </c>
      <c r="N185" s="33" t="n">
        <v>2099.97</v>
      </c>
    </row>
    <row r="186" customFormat="false" ht="15" hidden="false" customHeight="true" outlineLevel="0" collapsed="false">
      <c r="A186" s="34" t="s">
        <v>360</v>
      </c>
      <c r="B186" s="35" t="n">
        <v>45667</v>
      </c>
      <c r="C186" s="34" t="s">
        <v>142</v>
      </c>
      <c r="D186" s="34" t="s">
        <v>143</v>
      </c>
      <c r="E186" s="34" t="s">
        <v>157</v>
      </c>
      <c r="F186" s="34" t="s">
        <v>47</v>
      </c>
      <c r="G186" s="34" t="s">
        <v>45</v>
      </c>
      <c r="H186" s="34" t="n">
        <v>5</v>
      </c>
      <c r="I186" s="36" t="n">
        <v>199.99</v>
      </c>
      <c r="J186" s="34" t="s">
        <v>82</v>
      </c>
      <c r="K186" s="34" t="s">
        <v>27</v>
      </c>
      <c r="L186" s="34" t="s">
        <v>19</v>
      </c>
      <c r="M186" s="35" t="n">
        <v>44633</v>
      </c>
      <c r="N186" s="36" t="n">
        <v>999.95</v>
      </c>
    </row>
    <row r="187" customFormat="false" ht="15" hidden="false" customHeight="true" outlineLevel="0" collapsed="false">
      <c r="A187" s="31" t="s">
        <v>361</v>
      </c>
      <c r="B187" s="32" t="n">
        <v>45667</v>
      </c>
      <c r="C187" s="31" t="s">
        <v>129</v>
      </c>
      <c r="D187" s="31" t="s">
        <v>130</v>
      </c>
      <c r="E187" s="31" t="s">
        <v>72</v>
      </c>
      <c r="F187" s="31" t="s">
        <v>39</v>
      </c>
      <c r="G187" s="31" t="s">
        <v>36</v>
      </c>
      <c r="H187" s="31" t="n">
        <v>5</v>
      </c>
      <c r="I187" s="33" t="n">
        <v>249.99</v>
      </c>
      <c r="J187" s="31" t="s">
        <v>77</v>
      </c>
      <c r="K187" s="31" t="s">
        <v>20</v>
      </c>
      <c r="L187" s="31" t="s">
        <v>74</v>
      </c>
      <c r="M187" s="32" t="n">
        <v>45330</v>
      </c>
      <c r="N187" s="33" t="n">
        <v>1249.95</v>
      </c>
    </row>
    <row r="188" customFormat="false" ht="15" hidden="false" customHeight="true" outlineLevel="0" collapsed="false">
      <c r="A188" s="34" t="s">
        <v>362</v>
      </c>
      <c r="B188" s="35" t="n">
        <v>45668</v>
      </c>
      <c r="C188" s="34" t="s">
        <v>168</v>
      </c>
      <c r="D188" s="34" t="s">
        <v>169</v>
      </c>
      <c r="E188" s="34" t="s">
        <v>94</v>
      </c>
      <c r="F188" s="34" t="s">
        <v>38</v>
      </c>
      <c r="G188" s="34" t="s">
        <v>36</v>
      </c>
      <c r="H188" s="34" t="n">
        <v>4</v>
      </c>
      <c r="I188" s="36" t="n">
        <v>149.99</v>
      </c>
      <c r="J188" s="34" t="s">
        <v>98</v>
      </c>
      <c r="K188" s="34" t="s">
        <v>23</v>
      </c>
      <c r="L188" s="34" t="s">
        <v>19</v>
      </c>
      <c r="M188" s="35" t="n">
        <v>44536</v>
      </c>
      <c r="N188" s="36" t="n">
        <v>599.96</v>
      </c>
    </row>
    <row r="189" customFormat="false" ht="15" hidden="false" customHeight="true" outlineLevel="0" collapsed="false">
      <c r="A189" s="31" t="s">
        <v>363</v>
      </c>
      <c r="B189" s="32" t="n">
        <v>45668</v>
      </c>
      <c r="C189" s="31" t="s">
        <v>116</v>
      </c>
      <c r="D189" s="31" t="s">
        <v>117</v>
      </c>
      <c r="E189" s="31" t="s">
        <v>118</v>
      </c>
      <c r="F189" s="31" t="s">
        <v>37</v>
      </c>
      <c r="G189" s="31" t="s">
        <v>36</v>
      </c>
      <c r="H189" s="31" t="n">
        <v>3</v>
      </c>
      <c r="I189" s="33" t="n">
        <v>699.99</v>
      </c>
      <c r="J189" s="31" t="s">
        <v>73</v>
      </c>
      <c r="K189" s="31" t="s">
        <v>17</v>
      </c>
      <c r="L189" s="31" t="s">
        <v>22</v>
      </c>
      <c r="M189" s="32" t="n">
        <v>44602</v>
      </c>
      <c r="N189" s="33" t="n">
        <v>2099.97</v>
      </c>
    </row>
    <row r="190" customFormat="false" ht="15" hidden="false" customHeight="true" outlineLevel="0" collapsed="false">
      <c r="A190" s="34" t="s">
        <v>364</v>
      </c>
      <c r="B190" s="35" t="n">
        <v>45670</v>
      </c>
      <c r="C190" s="34" t="s">
        <v>323</v>
      </c>
      <c r="D190" s="34" t="s">
        <v>324</v>
      </c>
      <c r="E190" s="34" t="s">
        <v>148</v>
      </c>
      <c r="F190" s="34" t="s">
        <v>43</v>
      </c>
      <c r="G190" s="34" t="s">
        <v>42</v>
      </c>
      <c r="H190" s="34" t="n">
        <v>1</v>
      </c>
      <c r="I190" s="36" t="n">
        <v>79.99</v>
      </c>
      <c r="J190" s="34" t="s">
        <v>77</v>
      </c>
      <c r="K190" s="34" t="s">
        <v>20</v>
      </c>
      <c r="L190" s="34" t="s">
        <v>74</v>
      </c>
      <c r="M190" s="35" t="n">
        <v>45322</v>
      </c>
      <c r="N190" s="36" t="n">
        <v>79.99</v>
      </c>
    </row>
    <row r="191" customFormat="false" ht="15" hidden="false" customHeight="true" outlineLevel="0" collapsed="false">
      <c r="A191" s="31" t="s">
        <v>365</v>
      </c>
      <c r="B191" s="32" t="n">
        <v>45670</v>
      </c>
      <c r="C191" s="31" t="s">
        <v>123</v>
      </c>
      <c r="D191" s="31" t="s">
        <v>18</v>
      </c>
      <c r="E191" s="31" t="s">
        <v>140</v>
      </c>
      <c r="F191" s="31" t="s">
        <v>46</v>
      </c>
      <c r="G191" s="31" t="s">
        <v>45</v>
      </c>
      <c r="H191" s="31" t="n">
        <v>1</v>
      </c>
      <c r="I191" s="33" t="n">
        <v>299.99</v>
      </c>
      <c r="J191" s="31" t="s">
        <v>77</v>
      </c>
      <c r="K191" s="31" t="s">
        <v>17</v>
      </c>
      <c r="L191" s="31" t="s">
        <v>74</v>
      </c>
      <c r="M191" s="32" t="n">
        <v>44436</v>
      </c>
      <c r="N191" s="33" t="n">
        <v>299.99</v>
      </c>
    </row>
    <row r="192" customFormat="false" ht="15" hidden="false" customHeight="true" outlineLevel="0" collapsed="false">
      <c r="A192" s="34" t="s">
        <v>366</v>
      </c>
      <c r="B192" s="35" t="n">
        <v>45671</v>
      </c>
      <c r="C192" s="34" t="s">
        <v>188</v>
      </c>
      <c r="D192" s="34" t="s">
        <v>189</v>
      </c>
      <c r="E192" s="34" t="s">
        <v>72</v>
      </c>
      <c r="F192" s="34" t="s">
        <v>39</v>
      </c>
      <c r="G192" s="34" t="s">
        <v>36</v>
      </c>
      <c r="H192" s="34" t="n">
        <v>4</v>
      </c>
      <c r="I192" s="36" t="n">
        <v>249.99</v>
      </c>
      <c r="J192" s="34" t="s">
        <v>77</v>
      </c>
      <c r="K192" s="34" t="s">
        <v>17</v>
      </c>
      <c r="L192" s="34" t="s">
        <v>22</v>
      </c>
      <c r="M192" s="35" t="n">
        <v>44460</v>
      </c>
      <c r="N192" s="36" t="n">
        <v>999.96</v>
      </c>
    </row>
    <row r="193" customFormat="false" ht="15" hidden="false" customHeight="true" outlineLevel="0" collapsed="false">
      <c r="A193" s="31" t="s">
        <v>367</v>
      </c>
      <c r="B193" s="32" t="n">
        <v>45671</v>
      </c>
      <c r="C193" s="31" t="s">
        <v>152</v>
      </c>
      <c r="D193" s="31" t="s">
        <v>153</v>
      </c>
      <c r="E193" s="31" t="s">
        <v>94</v>
      </c>
      <c r="F193" s="31" t="s">
        <v>38</v>
      </c>
      <c r="G193" s="31" t="s">
        <v>36</v>
      </c>
      <c r="H193" s="31" t="n">
        <v>2</v>
      </c>
      <c r="I193" s="33" t="n">
        <v>149.99</v>
      </c>
      <c r="J193" s="31" t="s">
        <v>73</v>
      </c>
      <c r="K193" s="31" t="s">
        <v>17</v>
      </c>
      <c r="L193" s="31" t="s">
        <v>19</v>
      </c>
      <c r="M193" s="32" t="n">
        <v>44913</v>
      </c>
      <c r="N193" s="33" t="n">
        <v>299.98</v>
      </c>
    </row>
    <row r="194" customFormat="false" ht="15" hidden="false" customHeight="true" outlineLevel="0" collapsed="false">
      <c r="A194" s="34" t="s">
        <v>368</v>
      </c>
      <c r="B194" s="35" t="n">
        <v>45671</v>
      </c>
      <c r="C194" s="34" t="s">
        <v>264</v>
      </c>
      <c r="D194" s="34" t="s">
        <v>265</v>
      </c>
      <c r="E194" s="34" t="s">
        <v>140</v>
      </c>
      <c r="F194" s="34" t="s">
        <v>46</v>
      </c>
      <c r="G194" s="34" t="s">
        <v>45</v>
      </c>
      <c r="H194" s="34" t="n">
        <v>3</v>
      </c>
      <c r="I194" s="36" t="n">
        <v>299.99</v>
      </c>
      <c r="J194" s="34" t="s">
        <v>77</v>
      </c>
      <c r="K194" s="34" t="s">
        <v>20</v>
      </c>
      <c r="L194" s="34" t="s">
        <v>74</v>
      </c>
      <c r="M194" s="35" t="n">
        <v>45204</v>
      </c>
      <c r="N194" s="36" t="n">
        <v>899.97</v>
      </c>
    </row>
    <row r="195" customFormat="false" ht="15" hidden="false" customHeight="true" outlineLevel="0" collapsed="false">
      <c r="A195" s="31" t="s">
        <v>369</v>
      </c>
      <c r="B195" s="32" t="n">
        <v>45673</v>
      </c>
      <c r="C195" s="31" t="s">
        <v>256</v>
      </c>
      <c r="D195" s="31" t="s">
        <v>257</v>
      </c>
      <c r="E195" s="31" t="s">
        <v>157</v>
      </c>
      <c r="F195" s="31" t="s">
        <v>47</v>
      </c>
      <c r="G195" s="31" t="s">
        <v>45</v>
      </c>
      <c r="H195" s="31" t="n">
        <v>4</v>
      </c>
      <c r="I195" s="33" t="n">
        <v>199.99</v>
      </c>
      <c r="J195" s="31" t="s">
        <v>98</v>
      </c>
      <c r="K195" s="31" t="s">
        <v>20</v>
      </c>
      <c r="L195" s="31" t="s">
        <v>19</v>
      </c>
      <c r="M195" s="32" t="n">
        <v>44544</v>
      </c>
      <c r="N195" s="33" t="n">
        <v>799.96</v>
      </c>
    </row>
    <row r="196" customFormat="false" ht="15" hidden="false" customHeight="true" outlineLevel="0" collapsed="false">
      <c r="A196" s="34" t="s">
        <v>370</v>
      </c>
      <c r="B196" s="35" t="n">
        <v>45673</v>
      </c>
      <c r="C196" s="34" t="s">
        <v>241</v>
      </c>
      <c r="D196" s="34" t="s">
        <v>242</v>
      </c>
      <c r="E196" s="34" t="s">
        <v>140</v>
      </c>
      <c r="F196" s="34" t="s">
        <v>46</v>
      </c>
      <c r="G196" s="34" t="s">
        <v>45</v>
      </c>
      <c r="H196" s="34" t="n">
        <v>5</v>
      </c>
      <c r="I196" s="36" t="n">
        <v>299.99</v>
      </c>
      <c r="J196" s="34" t="s">
        <v>98</v>
      </c>
      <c r="K196" s="34" t="s">
        <v>27</v>
      </c>
      <c r="L196" s="34" t="s">
        <v>74</v>
      </c>
      <c r="M196" s="35" t="n">
        <v>44431</v>
      </c>
      <c r="N196" s="36" t="n">
        <v>1499.95</v>
      </c>
    </row>
    <row r="197" customFormat="false" ht="15" hidden="false" customHeight="true" outlineLevel="0" collapsed="false">
      <c r="A197" s="31" t="s">
        <v>371</v>
      </c>
      <c r="B197" s="32" t="n">
        <v>45673</v>
      </c>
      <c r="C197" s="31" t="s">
        <v>100</v>
      </c>
      <c r="D197" s="31" t="s">
        <v>101</v>
      </c>
      <c r="E197" s="31" t="s">
        <v>89</v>
      </c>
      <c r="F197" s="31" t="s">
        <v>44</v>
      </c>
      <c r="G197" s="31" t="s">
        <v>45</v>
      </c>
      <c r="H197" s="31" t="n">
        <v>3</v>
      </c>
      <c r="I197" s="33" t="n">
        <v>149.99</v>
      </c>
      <c r="J197" s="31" t="s">
        <v>77</v>
      </c>
      <c r="K197" s="31" t="s">
        <v>23</v>
      </c>
      <c r="L197" s="31" t="s">
        <v>19</v>
      </c>
      <c r="M197" s="32" t="n">
        <v>44395</v>
      </c>
      <c r="N197" s="33" t="n">
        <v>449.97</v>
      </c>
    </row>
    <row r="198" customFormat="false" ht="15" hidden="false" customHeight="true" outlineLevel="0" collapsed="false">
      <c r="A198" s="34" t="s">
        <v>372</v>
      </c>
      <c r="B198" s="35" t="n">
        <v>45676</v>
      </c>
      <c r="C198" s="34" t="s">
        <v>159</v>
      </c>
      <c r="D198" s="34" t="s">
        <v>160</v>
      </c>
      <c r="E198" s="34" t="s">
        <v>81</v>
      </c>
      <c r="F198" s="34" t="s">
        <v>41</v>
      </c>
      <c r="G198" s="34" t="s">
        <v>42</v>
      </c>
      <c r="H198" s="34" t="n">
        <v>5</v>
      </c>
      <c r="I198" s="36" t="n">
        <v>59.99</v>
      </c>
      <c r="J198" s="34" t="s">
        <v>98</v>
      </c>
      <c r="K198" s="34" t="s">
        <v>23</v>
      </c>
      <c r="L198" s="34" t="s">
        <v>74</v>
      </c>
      <c r="M198" s="35" t="n">
        <v>44642</v>
      </c>
      <c r="N198" s="36" t="n">
        <v>299.95</v>
      </c>
    </row>
    <row r="199" customFormat="false" ht="15" hidden="false" customHeight="true" outlineLevel="0" collapsed="false">
      <c r="A199" s="31" t="s">
        <v>373</v>
      </c>
      <c r="B199" s="32" t="n">
        <v>45682</v>
      </c>
      <c r="C199" s="31" t="s">
        <v>106</v>
      </c>
      <c r="D199" s="31" t="s">
        <v>107</v>
      </c>
      <c r="E199" s="31" t="s">
        <v>81</v>
      </c>
      <c r="F199" s="31" t="s">
        <v>41</v>
      </c>
      <c r="G199" s="31" t="s">
        <v>42</v>
      </c>
      <c r="H199" s="31" t="n">
        <v>4</v>
      </c>
      <c r="I199" s="33" t="n">
        <v>59.99</v>
      </c>
      <c r="J199" s="31" t="s">
        <v>98</v>
      </c>
      <c r="K199" s="31" t="s">
        <v>23</v>
      </c>
      <c r="L199" s="31" t="s">
        <v>19</v>
      </c>
      <c r="M199" s="32" t="n">
        <v>44564</v>
      </c>
      <c r="N199" s="33" t="n">
        <v>239.96</v>
      </c>
    </row>
    <row r="200" customFormat="false" ht="15" hidden="false" customHeight="true" outlineLevel="0" collapsed="false">
      <c r="A200" s="34" t="s">
        <v>374</v>
      </c>
      <c r="B200" s="35" t="n">
        <v>45683</v>
      </c>
      <c r="C200" s="34" t="s">
        <v>91</v>
      </c>
      <c r="D200" s="34" t="s">
        <v>92</v>
      </c>
      <c r="E200" s="34" t="s">
        <v>72</v>
      </c>
      <c r="F200" s="34" t="s">
        <v>39</v>
      </c>
      <c r="G200" s="34" t="s">
        <v>36</v>
      </c>
      <c r="H200" s="34" t="n">
        <v>4</v>
      </c>
      <c r="I200" s="36" t="n">
        <v>249.99</v>
      </c>
      <c r="J200" s="34" t="s">
        <v>98</v>
      </c>
      <c r="K200" s="34" t="s">
        <v>27</v>
      </c>
      <c r="L200" s="34" t="s">
        <v>22</v>
      </c>
      <c r="M200" s="35" t="n">
        <v>45217</v>
      </c>
      <c r="N200" s="36" t="n">
        <v>999.96</v>
      </c>
    </row>
    <row r="201" customFormat="false" ht="15" hidden="false" customHeight="true" outlineLevel="0" collapsed="false">
      <c r="A201" s="31" t="s">
        <v>375</v>
      </c>
      <c r="B201" s="32" t="n">
        <v>45686</v>
      </c>
      <c r="C201" s="31" t="s">
        <v>282</v>
      </c>
      <c r="D201" s="31" t="s">
        <v>283</v>
      </c>
      <c r="E201" s="31" t="s">
        <v>102</v>
      </c>
      <c r="F201" s="31" t="s">
        <v>35</v>
      </c>
      <c r="G201" s="31" t="s">
        <v>36</v>
      </c>
      <c r="H201" s="31" t="n">
        <v>4</v>
      </c>
      <c r="I201" s="33" t="n">
        <v>899.99</v>
      </c>
      <c r="J201" s="31" t="s">
        <v>82</v>
      </c>
      <c r="K201" s="31" t="s">
        <v>27</v>
      </c>
      <c r="L201" s="31" t="s">
        <v>74</v>
      </c>
      <c r="M201" s="32" t="n">
        <v>44734</v>
      </c>
      <c r="N201" s="33" t="n">
        <v>3599.96</v>
      </c>
    </row>
    <row r="202" customFormat="false" ht="15" hidden="false" customHeight="true" outlineLevel="0" collapsed="false">
      <c r="A202" s="34" t="s">
        <v>376</v>
      </c>
      <c r="B202" s="35" t="n">
        <v>45686</v>
      </c>
      <c r="C202" s="34" t="s">
        <v>123</v>
      </c>
      <c r="D202" s="34" t="s">
        <v>18</v>
      </c>
      <c r="E202" s="34" t="s">
        <v>140</v>
      </c>
      <c r="F202" s="34" t="s">
        <v>46</v>
      </c>
      <c r="G202" s="34" t="s">
        <v>45</v>
      </c>
      <c r="H202" s="34" t="n">
        <v>3</v>
      </c>
      <c r="I202" s="36" t="n">
        <v>299.99</v>
      </c>
      <c r="J202" s="34" t="s">
        <v>98</v>
      </c>
      <c r="K202" s="34" t="s">
        <v>25</v>
      </c>
      <c r="L202" s="34" t="s">
        <v>19</v>
      </c>
      <c r="M202" s="35" t="n">
        <v>44952</v>
      </c>
      <c r="N202" s="36" t="n">
        <v>899.97</v>
      </c>
    </row>
    <row r="203" customFormat="false" ht="15" hidden="false" customHeight="true" outlineLevel="0" collapsed="false">
      <c r="A203" s="31" t="s">
        <v>377</v>
      </c>
      <c r="B203" s="32" t="n">
        <v>45686</v>
      </c>
      <c r="C203" s="31" t="s">
        <v>323</v>
      </c>
      <c r="D203" s="31" t="s">
        <v>324</v>
      </c>
      <c r="E203" s="31" t="s">
        <v>118</v>
      </c>
      <c r="F203" s="31" t="s">
        <v>37</v>
      </c>
      <c r="G203" s="31" t="s">
        <v>36</v>
      </c>
      <c r="H203" s="31" t="n">
        <v>2</v>
      </c>
      <c r="I203" s="33" t="n">
        <v>699.99</v>
      </c>
      <c r="J203" s="31" t="s">
        <v>98</v>
      </c>
      <c r="K203" s="31" t="s">
        <v>27</v>
      </c>
      <c r="L203" s="31" t="s">
        <v>22</v>
      </c>
      <c r="M203" s="32" t="n">
        <v>44681</v>
      </c>
      <c r="N203" s="33" t="n">
        <v>1399.98</v>
      </c>
    </row>
    <row r="204" customFormat="false" ht="15" hidden="false" customHeight="true" outlineLevel="0" collapsed="false">
      <c r="A204" s="34" t="s">
        <v>378</v>
      </c>
      <c r="B204" s="35" t="n">
        <v>45688</v>
      </c>
      <c r="C204" s="34" t="s">
        <v>104</v>
      </c>
      <c r="D204" s="34" t="s">
        <v>24</v>
      </c>
      <c r="E204" s="34" t="s">
        <v>118</v>
      </c>
      <c r="F204" s="34" t="s">
        <v>37</v>
      </c>
      <c r="G204" s="34" t="s">
        <v>36</v>
      </c>
      <c r="H204" s="34" t="n">
        <v>4</v>
      </c>
      <c r="I204" s="36" t="n">
        <v>699.99</v>
      </c>
      <c r="J204" s="34" t="s">
        <v>98</v>
      </c>
      <c r="K204" s="34" t="s">
        <v>25</v>
      </c>
      <c r="L204" s="34" t="s">
        <v>22</v>
      </c>
      <c r="M204" s="35" t="n">
        <v>44692</v>
      </c>
      <c r="N204" s="36" t="n">
        <v>2799.96</v>
      </c>
    </row>
    <row r="205" customFormat="false" ht="15" hidden="false" customHeight="true" outlineLevel="0" collapsed="false">
      <c r="A205" s="31" t="s">
        <v>379</v>
      </c>
      <c r="B205" s="32" t="n">
        <v>45688</v>
      </c>
      <c r="C205" s="31" t="s">
        <v>155</v>
      </c>
      <c r="D205" s="31" t="s">
        <v>21</v>
      </c>
      <c r="E205" s="31" t="s">
        <v>150</v>
      </c>
      <c r="F205" s="31" t="s">
        <v>40</v>
      </c>
      <c r="G205" s="31" t="s">
        <v>36</v>
      </c>
      <c r="H205" s="31" t="n">
        <v>2</v>
      </c>
      <c r="I205" s="33" t="n">
        <v>89.99</v>
      </c>
      <c r="J205" s="31" t="s">
        <v>98</v>
      </c>
      <c r="K205" s="31" t="s">
        <v>20</v>
      </c>
      <c r="L205" s="31" t="s">
        <v>74</v>
      </c>
      <c r="M205" s="32" t="n">
        <v>44777</v>
      </c>
      <c r="N205" s="33" t="n">
        <v>179.98</v>
      </c>
    </row>
    <row r="206" customFormat="false" ht="15" hidden="false" customHeight="true" outlineLevel="0" collapsed="false">
      <c r="A206" s="34" t="s">
        <v>380</v>
      </c>
      <c r="B206" s="35" t="n">
        <v>45688</v>
      </c>
      <c r="C206" s="34" t="s">
        <v>87</v>
      </c>
      <c r="D206" s="34" t="s">
        <v>88</v>
      </c>
      <c r="E206" s="34" t="s">
        <v>150</v>
      </c>
      <c r="F206" s="34" t="s">
        <v>40</v>
      </c>
      <c r="G206" s="34" t="s">
        <v>36</v>
      </c>
      <c r="H206" s="34" t="n">
        <v>3</v>
      </c>
      <c r="I206" s="36" t="n">
        <v>89.99</v>
      </c>
      <c r="J206" s="34" t="s">
        <v>98</v>
      </c>
      <c r="K206" s="34" t="s">
        <v>20</v>
      </c>
      <c r="L206" s="34" t="s">
        <v>22</v>
      </c>
      <c r="M206" s="35" t="n">
        <v>45307</v>
      </c>
      <c r="N206" s="36" t="n">
        <v>269.97</v>
      </c>
    </row>
    <row r="207" customFormat="false" ht="15" hidden="false" customHeight="true" outlineLevel="0" collapsed="false">
      <c r="A207" s="31" t="s">
        <v>381</v>
      </c>
      <c r="B207" s="32" t="n">
        <v>45692</v>
      </c>
      <c r="C207" s="31" t="s">
        <v>355</v>
      </c>
      <c r="D207" s="31" t="s">
        <v>356</v>
      </c>
      <c r="E207" s="31" t="s">
        <v>81</v>
      </c>
      <c r="F207" s="31" t="s">
        <v>41</v>
      </c>
      <c r="G207" s="31" t="s">
        <v>42</v>
      </c>
      <c r="H207" s="31" t="n">
        <v>1</v>
      </c>
      <c r="I207" s="33" t="n">
        <v>59.99</v>
      </c>
      <c r="J207" s="31" t="s">
        <v>98</v>
      </c>
      <c r="K207" s="31" t="s">
        <v>27</v>
      </c>
      <c r="L207" s="31" t="s">
        <v>19</v>
      </c>
      <c r="M207" s="32" t="n">
        <v>45045</v>
      </c>
      <c r="N207" s="33" t="n">
        <v>59.99</v>
      </c>
    </row>
    <row r="208" customFormat="false" ht="15" hidden="false" customHeight="true" outlineLevel="0" collapsed="false">
      <c r="A208" s="34" t="s">
        <v>382</v>
      </c>
      <c r="B208" s="35" t="n">
        <v>45695</v>
      </c>
      <c r="C208" s="34" t="s">
        <v>276</v>
      </c>
      <c r="D208" s="34" t="s">
        <v>277</v>
      </c>
      <c r="E208" s="34" t="s">
        <v>89</v>
      </c>
      <c r="F208" s="34" t="s">
        <v>44</v>
      </c>
      <c r="G208" s="34" t="s">
        <v>45</v>
      </c>
      <c r="H208" s="34" t="n">
        <v>3</v>
      </c>
      <c r="I208" s="36" t="n">
        <v>149.99</v>
      </c>
      <c r="J208" s="34" t="s">
        <v>98</v>
      </c>
      <c r="K208" s="34" t="s">
        <v>17</v>
      </c>
      <c r="L208" s="34" t="s">
        <v>22</v>
      </c>
      <c r="M208" s="35" t="n">
        <v>44564</v>
      </c>
      <c r="N208" s="36" t="n">
        <v>449.97</v>
      </c>
    </row>
    <row r="209" customFormat="false" ht="15" hidden="false" customHeight="true" outlineLevel="0" collapsed="false">
      <c r="A209" s="31" t="s">
        <v>383</v>
      </c>
      <c r="B209" s="32" t="n">
        <v>45695</v>
      </c>
      <c r="C209" s="31" t="s">
        <v>129</v>
      </c>
      <c r="D209" s="31" t="s">
        <v>130</v>
      </c>
      <c r="E209" s="31" t="s">
        <v>140</v>
      </c>
      <c r="F209" s="31" t="s">
        <v>46</v>
      </c>
      <c r="G209" s="31" t="s">
        <v>45</v>
      </c>
      <c r="H209" s="31" t="n">
        <v>5</v>
      </c>
      <c r="I209" s="33" t="n">
        <v>299.99</v>
      </c>
      <c r="J209" s="31" t="s">
        <v>77</v>
      </c>
      <c r="K209" s="31" t="s">
        <v>20</v>
      </c>
      <c r="L209" s="31" t="s">
        <v>74</v>
      </c>
      <c r="M209" s="32" t="n">
        <v>44959</v>
      </c>
      <c r="N209" s="33" t="n">
        <v>1499.95</v>
      </c>
    </row>
    <row r="210" customFormat="false" ht="15" hidden="false" customHeight="true" outlineLevel="0" collapsed="false">
      <c r="A210" s="34" t="s">
        <v>384</v>
      </c>
      <c r="B210" s="35" t="n">
        <v>45696</v>
      </c>
      <c r="C210" s="34" t="s">
        <v>180</v>
      </c>
      <c r="D210" s="34" t="s">
        <v>181</v>
      </c>
      <c r="E210" s="34" t="s">
        <v>81</v>
      </c>
      <c r="F210" s="34" t="s">
        <v>41</v>
      </c>
      <c r="G210" s="34" t="s">
        <v>42</v>
      </c>
      <c r="H210" s="34" t="n">
        <v>5</v>
      </c>
      <c r="I210" s="36" t="n">
        <v>59.99</v>
      </c>
      <c r="J210" s="34" t="s">
        <v>98</v>
      </c>
      <c r="K210" s="34" t="s">
        <v>27</v>
      </c>
      <c r="L210" s="34" t="s">
        <v>19</v>
      </c>
      <c r="M210" s="35" t="n">
        <v>45177</v>
      </c>
      <c r="N210" s="36" t="n">
        <v>299.95</v>
      </c>
    </row>
    <row r="211" customFormat="false" ht="15" hidden="false" customHeight="true" outlineLevel="0" collapsed="false">
      <c r="A211" s="31" t="s">
        <v>385</v>
      </c>
      <c r="B211" s="32" t="n">
        <v>45701</v>
      </c>
      <c r="C211" s="31" t="s">
        <v>142</v>
      </c>
      <c r="D211" s="31" t="s">
        <v>143</v>
      </c>
      <c r="E211" s="31" t="s">
        <v>148</v>
      </c>
      <c r="F211" s="31" t="s">
        <v>43</v>
      </c>
      <c r="G211" s="31" t="s">
        <v>42</v>
      </c>
      <c r="H211" s="31" t="n">
        <v>3</v>
      </c>
      <c r="I211" s="33" t="n">
        <v>79.99</v>
      </c>
      <c r="J211" s="31" t="s">
        <v>73</v>
      </c>
      <c r="K211" s="31" t="s">
        <v>23</v>
      </c>
      <c r="L211" s="31" t="s">
        <v>22</v>
      </c>
      <c r="M211" s="32" t="n">
        <v>44436</v>
      </c>
      <c r="N211" s="33" t="n">
        <v>239.97</v>
      </c>
    </row>
    <row r="212" customFormat="false" ht="15" hidden="false" customHeight="true" outlineLevel="0" collapsed="false">
      <c r="A212" s="34" t="s">
        <v>386</v>
      </c>
      <c r="B212" s="35" t="n">
        <v>45704</v>
      </c>
      <c r="C212" s="34" t="s">
        <v>79</v>
      </c>
      <c r="D212" s="34" t="s">
        <v>80</v>
      </c>
      <c r="E212" s="34" t="s">
        <v>157</v>
      </c>
      <c r="F212" s="34" t="s">
        <v>47</v>
      </c>
      <c r="G212" s="34" t="s">
        <v>45</v>
      </c>
      <c r="H212" s="34" t="n">
        <v>3</v>
      </c>
      <c r="I212" s="36" t="n">
        <v>199.99</v>
      </c>
      <c r="J212" s="34" t="s">
        <v>73</v>
      </c>
      <c r="K212" s="34" t="s">
        <v>27</v>
      </c>
      <c r="L212" s="34" t="s">
        <v>74</v>
      </c>
      <c r="M212" s="35" t="n">
        <v>44735</v>
      </c>
      <c r="N212" s="36" t="n">
        <v>599.97</v>
      </c>
    </row>
    <row r="213" customFormat="false" ht="15" hidden="false" customHeight="true" outlineLevel="0" collapsed="false">
      <c r="A213" s="31" t="s">
        <v>387</v>
      </c>
      <c r="B213" s="32" t="n">
        <v>45704</v>
      </c>
      <c r="C213" s="31" t="s">
        <v>70</v>
      </c>
      <c r="D213" s="31" t="s">
        <v>71</v>
      </c>
      <c r="E213" s="31" t="s">
        <v>150</v>
      </c>
      <c r="F213" s="31" t="s">
        <v>40</v>
      </c>
      <c r="G213" s="31" t="s">
        <v>36</v>
      </c>
      <c r="H213" s="31" t="n">
        <v>2</v>
      </c>
      <c r="I213" s="33" t="n">
        <v>89.99</v>
      </c>
      <c r="J213" s="31" t="s">
        <v>82</v>
      </c>
      <c r="K213" s="31" t="s">
        <v>27</v>
      </c>
      <c r="L213" s="31" t="s">
        <v>74</v>
      </c>
      <c r="M213" s="32" t="n">
        <v>45257</v>
      </c>
      <c r="N213" s="33" t="n">
        <v>179.98</v>
      </c>
    </row>
    <row r="214" customFormat="false" ht="15" hidden="false" customHeight="true" outlineLevel="0" collapsed="false">
      <c r="A214" s="34" t="s">
        <v>388</v>
      </c>
      <c r="B214" s="35" t="n">
        <v>45705</v>
      </c>
      <c r="C214" s="34" t="s">
        <v>289</v>
      </c>
      <c r="D214" s="34" t="s">
        <v>290</v>
      </c>
      <c r="E214" s="34" t="s">
        <v>89</v>
      </c>
      <c r="F214" s="34" t="s">
        <v>44</v>
      </c>
      <c r="G214" s="34" t="s">
        <v>45</v>
      </c>
      <c r="H214" s="34" t="n">
        <v>2</v>
      </c>
      <c r="I214" s="36" t="n">
        <v>149.99</v>
      </c>
      <c r="J214" s="34" t="s">
        <v>73</v>
      </c>
      <c r="K214" s="34" t="s">
        <v>20</v>
      </c>
      <c r="L214" s="34" t="s">
        <v>22</v>
      </c>
      <c r="M214" s="35" t="n">
        <v>44728</v>
      </c>
      <c r="N214" s="36" t="n">
        <v>299.98</v>
      </c>
    </row>
    <row r="215" customFormat="false" ht="15" hidden="false" customHeight="true" outlineLevel="0" collapsed="false">
      <c r="A215" s="31" t="s">
        <v>389</v>
      </c>
      <c r="B215" s="32" t="n">
        <v>45707</v>
      </c>
      <c r="C215" s="31" t="s">
        <v>155</v>
      </c>
      <c r="D215" s="31" t="s">
        <v>21</v>
      </c>
      <c r="E215" s="31" t="s">
        <v>118</v>
      </c>
      <c r="F215" s="31" t="s">
        <v>37</v>
      </c>
      <c r="G215" s="31" t="s">
        <v>36</v>
      </c>
      <c r="H215" s="31" t="n">
        <v>5</v>
      </c>
      <c r="I215" s="33" t="n">
        <v>699.99</v>
      </c>
      <c r="J215" s="31" t="s">
        <v>82</v>
      </c>
      <c r="K215" s="31" t="s">
        <v>20</v>
      </c>
      <c r="L215" s="31" t="s">
        <v>22</v>
      </c>
      <c r="M215" s="32" t="n">
        <v>45352</v>
      </c>
      <c r="N215" s="33" t="n">
        <v>3499.95</v>
      </c>
    </row>
    <row r="216" customFormat="false" ht="15" hidden="false" customHeight="true" outlineLevel="0" collapsed="false">
      <c r="A216" s="34" t="s">
        <v>390</v>
      </c>
      <c r="B216" s="35" t="n">
        <v>45707</v>
      </c>
      <c r="C216" s="34" t="s">
        <v>87</v>
      </c>
      <c r="D216" s="34" t="s">
        <v>88</v>
      </c>
      <c r="E216" s="34" t="s">
        <v>89</v>
      </c>
      <c r="F216" s="34" t="s">
        <v>44</v>
      </c>
      <c r="G216" s="34" t="s">
        <v>45</v>
      </c>
      <c r="H216" s="34" t="n">
        <v>3</v>
      </c>
      <c r="I216" s="36" t="n">
        <v>149.99</v>
      </c>
      <c r="J216" s="34" t="s">
        <v>82</v>
      </c>
      <c r="K216" s="34" t="s">
        <v>27</v>
      </c>
      <c r="L216" s="34" t="s">
        <v>19</v>
      </c>
      <c r="M216" s="35" t="n">
        <v>44633</v>
      </c>
      <c r="N216" s="36" t="n">
        <v>449.97</v>
      </c>
    </row>
    <row r="217" customFormat="false" ht="15" hidden="false" customHeight="true" outlineLevel="0" collapsed="false">
      <c r="A217" s="31" t="s">
        <v>391</v>
      </c>
      <c r="B217" s="32" t="n">
        <v>45708</v>
      </c>
      <c r="C217" s="31" t="s">
        <v>132</v>
      </c>
      <c r="D217" s="31" t="s">
        <v>26</v>
      </c>
      <c r="E217" s="31" t="s">
        <v>102</v>
      </c>
      <c r="F217" s="31" t="s">
        <v>35</v>
      </c>
      <c r="G217" s="31" t="s">
        <v>36</v>
      </c>
      <c r="H217" s="31" t="n">
        <v>3</v>
      </c>
      <c r="I217" s="33" t="n">
        <v>899.99</v>
      </c>
      <c r="J217" s="31" t="s">
        <v>73</v>
      </c>
      <c r="K217" s="31" t="s">
        <v>23</v>
      </c>
      <c r="L217" s="31" t="s">
        <v>19</v>
      </c>
      <c r="M217" s="32" t="n">
        <v>44613</v>
      </c>
      <c r="N217" s="33" t="n">
        <v>2699.97</v>
      </c>
    </row>
    <row r="218" customFormat="false" ht="15" hidden="false" customHeight="true" outlineLevel="0" collapsed="false">
      <c r="A218" s="34" t="s">
        <v>392</v>
      </c>
      <c r="B218" s="35" t="n">
        <v>45708</v>
      </c>
      <c r="C218" s="34" t="s">
        <v>222</v>
      </c>
      <c r="D218" s="34" t="s">
        <v>223</v>
      </c>
      <c r="E218" s="34" t="s">
        <v>157</v>
      </c>
      <c r="F218" s="34" t="s">
        <v>47</v>
      </c>
      <c r="G218" s="34" t="s">
        <v>45</v>
      </c>
      <c r="H218" s="34" t="n">
        <v>3</v>
      </c>
      <c r="I218" s="36" t="n">
        <v>199.99</v>
      </c>
      <c r="J218" s="34" t="s">
        <v>73</v>
      </c>
      <c r="K218" s="34" t="s">
        <v>25</v>
      </c>
      <c r="L218" s="34" t="s">
        <v>22</v>
      </c>
      <c r="M218" s="35" t="n">
        <v>44823</v>
      </c>
      <c r="N218" s="36" t="n">
        <v>599.97</v>
      </c>
    </row>
    <row r="219" customFormat="false" ht="15" hidden="false" customHeight="true" outlineLevel="0" collapsed="false">
      <c r="A219" s="31" t="s">
        <v>393</v>
      </c>
      <c r="B219" s="32" t="n">
        <v>45710</v>
      </c>
      <c r="C219" s="31" t="s">
        <v>96</v>
      </c>
      <c r="D219" s="31" t="s">
        <v>97</v>
      </c>
      <c r="E219" s="31" t="s">
        <v>140</v>
      </c>
      <c r="F219" s="31" t="s">
        <v>46</v>
      </c>
      <c r="G219" s="31" t="s">
        <v>45</v>
      </c>
      <c r="H219" s="31" t="n">
        <v>5</v>
      </c>
      <c r="I219" s="33" t="n">
        <v>299.99</v>
      </c>
      <c r="J219" s="31" t="s">
        <v>73</v>
      </c>
      <c r="K219" s="31" t="s">
        <v>25</v>
      </c>
      <c r="L219" s="31" t="s">
        <v>19</v>
      </c>
      <c r="M219" s="32" t="n">
        <v>45142</v>
      </c>
      <c r="N219" s="33" t="n">
        <v>1499.95</v>
      </c>
    </row>
    <row r="220" customFormat="false" ht="15" hidden="false" customHeight="true" outlineLevel="0" collapsed="false">
      <c r="A220" s="34" t="s">
        <v>394</v>
      </c>
      <c r="B220" s="35" t="n">
        <v>45710</v>
      </c>
      <c r="C220" s="34" t="s">
        <v>180</v>
      </c>
      <c r="D220" s="34" t="s">
        <v>181</v>
      </c>
      <c r="E220" s="34" t="s">
        <v>118</v>
      </c>
      <c r="F220" s="34" t="s">
        <v>37</v>
      </c>
      <c r="G220" s="34" t="s">
        <v>36</v>
      </c>
      <c r="H220" s="34" t="n">
        <v>1</v>
      </c>
      <c r="I220" s="36" t="n">
        <v>699.99</v>
      </c>
      <c r="J220" s="34" t="s">
        <v>82</v>
      </c>
      <c r="K220" s="34" t="s">
        <v>25</v>
      </c>
      <c r="L220" s="34" t="s">
        <v>74</v>
      </c>
      <c r="M220" s="35" t="n">
        <v>44934</v>
      </c>
      <c r="N220" s="36" t="n">
        <v>699.99</v>
      </c>
    </row>
    <row r="221" customFormat="false" ht="15" hidden="false" customHeight="true" outlineLevel="0" collapsed="false">
      <c r="A221" s="31" t="s">
        <v>395</v>
      </c>
      <c r="B221" s="32" t="n">
        <v>45711</v>
      </c>
      <c r="C221" s="31" t="s">
        <v>276</v>
      </c>
      <c r="D221" s="31" t="s">
        <v>277</v>
      </c>
      <c r="E221" s="31" t="s">
        <v>118</v>
      </c>
      <c r="F221" s="31" t="s">
        <v>37</v>
      </c>
      <c r="G221" s="31" t="s">
        <v>36</v>
      </c>
      <c r="H221" s="31" t="n">
        <v>1</v>
      </c>
      <c r="I221" s="33" t="n">
        <v>699.99</v>
      </c>
      <c r="J221" s="31" t="s">
        <v>73</v>
      </c>
      <c r="K221" s="31" t="s">
        <v>17</v>
      </c>
      <c r="L221" s="31" t="s">
        <v>22</v>
      </c>
      <c r="M221" s="32" t="n">
        <v>44583</v>
      </c>
      <c r="N221" s="33" t="n">
        <v>699.99</v>
      </c>
    </row>
    <row r="222" customFormat="false" ht="15" hidden="false" customHeight="true" outlineLevel="0" collapsed="false">
      <c r="A222" s="34" t="s">
        <v>396</v>
      </c>
      <c r="B222" s="35" t="n">
        <v>45711</v>
      </c>
      <c r="C222" s="34" t="s">
        <v>355</v>
      </c>
      <c r="D222" s="34" t="s">
        <v>356</v>
      </c>
      <c r="E222" s="34" t="s">
        <v>89</v>
      </c>
      <c r="F222" s="34" t="s">
        <v>44</v>
      </c>
      <c r="G222" s="34" t="s">
        <v>45</v>
      </c>
      <c r="H222" s="34" t="n">
        <v>4</v>
      </c>
      <c r="I222" s="36" t="n">
        <v>149.99</v>
      </c>
      <c r="J222" s="34" t="s">
        <v>82</v>
      </c>
      <c r="K222" s="34" t="s">
        <v>17</v>
      </c>
      <c r="L222" s="34" t="s">
        <v>22</v>
      </c>
      <c r="M222" s="35" t="n">
        <v>44412</v>
      </c>
      <c r="N222" s="36" t="n">
        <v>599.96</v>
      </c>
    </row>
    <row r="223" customFormat="false" ht="15" hidden="false" customHeight="true" outlineLevel="0" collapsed="false">
      <c r="A223" s="31" t="s">
        <v>397</v>
      </c>
      <c r="B223" s="32" t="n">
        <v>45711</v>
      </c>
      <c r="C223" s="31" t="s">
        <v>241</v>
      </c>
      <c r="D223" s="31" t="s">
        <v>242</v>
      </c>
      <c r="E223" s="31" t="s">
        <v>150</v>
      </c>
      <c r="F223" s="31" t="s">
        <v>40</v>
      </c>
      <c r="G223" s="31" t="s">
        <v>36</v>
      </c>
      <c r="H223" s="31" t="n">
        <v>5</v>
      </c>
      <c r="I223" s="33" t="n">
        <v>89.99</v>
      </c>
      <c r="J223" s="31" t="s">
        <v>82</v>
      </c>
      <c r="K223" s="31" t="s">
        <v>25</v>
      </c>
      <c r="L223" s="31" t="s">
        <v>22</v>
      </c>
      <c r="M223" s="32" t="n">
        <v>45140</v>
      </c>
      <c r="N223" s="33" t="n">
        <v>449.95</v>
      </c>
    </row>
    <row r="224" customFormat="false" ht="15" hidden="false" customHeight="true" outlineLevel="0" collapsed="false">
      <c r="A224" s="34" t="s">
        <v>398</v>
      </c>
      <c r="B224" s="35" t="n">
        <v>45712</v>
      </c>
      <c r="C224" s="34" t="s">
        <v>168</v>
      </c>
      <c r="D224" s="34" t="s">
        <v>169</v>
      </c>
      <c r="E224" s="34" t="s">
        <v>157</v>
      </c>
      <c r="F224" s="34" t="s">
        <v>47</v>
      </c>
      <c r="G224" s="34" t="s">
        <v>45</v>
      </c>
      <c r="H224" s="34" t="n">
        <v>2</v>
      </c>
      <c r="I224" s="36" t="n">
        <v>199.99</v>
      </c>
      <c r="J224" s="34" t="s">
        <v>73</v>
      </c>
      <c r="K224" s="34" t="s">
        <v>27</v>
      </c>
      <c r="L224" s="34" t="s">
        <v>22</v>
      </c>
      <c r="M224" s="35" t="n">
        <v>44573</v>
      </c>
      <c r="N224" s="36" t="n">
        <v>399.98</v>
      </c>
    </row>
    <row r="225" customFormat="false" ht="15" hidden="false" customHeight="true" outlineLevel="0" collapsed="false">
      <c r="A225" s="31" t="s">
        <v>399</v>
      </c>
      <c r="B225" s="32" t="n">
        <v>45715</v>
      </c>
      <c r="C225" s="31" t="s">
        <v>289</v>
      </c>
      <c r="D225" s="31" t="s">
        <v>290</v>
      </c>
      <c r="E225" s="31" t="s">
        <v>81</v>
      </c>
      <c r="F225" s="31" t="s">
        <v>41</v>
      </c>
      <c r="G225" s="31" t="s">
        <v>42</v>
      </c>
      <c r="H225" s="31" t="n">
        <v>4</v>
      </c>
      <c r="I225" s="33" t="n">
        <v>59.99</v>
      </c>
      <c r="J225" s="31" t="s">
        <v>73</v>
      </c>
      <c r="K225" s="31" t="s">
        <v>25</v>
      </c>
      <c r="L225" s="31" t="s">
        <v>19</v>
      </c>
      <c r="M225" s="32" t="n">
        <v>45070</v>
      </c>
      <c r="N225" s="33" t="n">
        <v>239.96</v>
      </c>
    </row>
    <row r="226" customFormat="false" ht="15" hidden="false" customHeight="true" outlineLevel="0" collapsed="false">
      <c r="A226" s="34" t="s">
        <v>400</v>
      </c>
      <c r="B226" s="35" t="n">
        <v>45715</v>
      </c>
      <c r="C226" s="34" t="s">
        <v>129</v>
      </c>
      <c r="D226" s="34" t="s">
        <v>130</v>
      </c>
      <c r="E226" s="34" t="s">
        <v>140</v>
      </c>
      <c r="F226" s="34" t="s">
        <v>46</v>
      </c>
      <c r="G226" s="34" t="s">
        <v>45</v>
      </c>
      <c r="H226" s="34" t="n">
        <v>2</v>
      </c>
      <c r="I226" s="36" t="n">
        <v>299.99</v>
      </c>
      <c r="J226" s="34" t="s">
        <v>82</v>
      </c>
      <c r="K226" s="34" t="s">
        <v>20</v>
      </c>
      <c r="L226" s="34" t="s">
        <v>74</v>
      </c>
      <c r="M226" s="35" t="n">
        <v>44576</v>
      </c>
      <c r="N226" s="36" t="n">
        <v>599.98</v>
      </c>
    </row>
    <row r="227" customFormat="false" ht="15" hidden="false" customHeight="true" outlineLevel="0" collapsed="false">
      <c r="A227" s="31" t="s">
        <v>401</v>
      </c>
      <c r="B227" s="32" t="n">
        <v>45718</v>
      </c>
      <c r="C227" s="31" t="s">
        <v>96</v>
      </c>
      <c r="D227" s="31" t="s">
        <v>97</v>
      </c>
      <c r="E227" s="31" t="s">
        <v>89</v>
      </c>
      <c r="F227" s="31" t="s">
        <v>44</v>
      </c>
      <c r="G227" s="31" t="s">
        <v>45</v>
      </c>
      <c r="H227" s="31" t="n">
        <v>2</v>
      </c>
      <c r="I227" s="33" t="n">
        <v>149.99</v>
      </c>
      <c r="J227" s="31" t="s">
        <v>73</v>
      </c>
      <c r="K227" s="31" t="s">
        <v>27</v>
      </c>
      <c r="L227" s="31" t="s">
        <v>74</v>
      </c>
      <c r="M227" s="32" t="n">
        <v>45068</v>
      </c>
      <c r="N227" s="33" t="n">
        <v>299.98</v>
      </c>
    </row>
    <row r="228" customFormat="false" ht="15" hidden="false" customHeight="true" outlineLevel="0" collapsed="false">
      <c r="A228" s="34" t="s">
        <v>402</v>
      </c>
      <c r="B228" s="35" t="n">
        <v>45720</v>
      </c>
      <c r="C228" s="34" t="s">
        <v>256</v>
      </c>
      <c r="D228" s="34" t="s">
        <v>257</v>
      </c>
      <c r="E228" s="34" t="s">
        <v>118</v>
      </c>
      <c r="F228" s="34" t="s">
        <v>37</v>
      </c>
      <c r="G228" s="34" t="s">
        <v>36</v>
      </c>
      <c r="H228" s="34" t="n">
        <v>5</v>
      </c>
      <c r="I228" s="36" t="n">
        <v>699.99</v>
      </c>
      <c r="J228" s="34" t="s">
        <v>98</v>
      </c>
      <c r="K228" s="34" t="s">
        <v>23</v>
      </c>
      <c r="L228" s="34" t="s">
        <v>22</v>
      </c>
      <c r="M228" s="35" t="n">
        <v>45161</v>
      </c>
      <c r="N228" s="36" t="n">
        <v>3499.95</v>
      </c>
    </row>
    <row r="229" customFormat="false" ht="15" hidden="false" customHeight="true" outlineLevel="0" collapsed="false">
      <c r="A229" s="31" t="s">
        <v>403</v>
      </c>
      <c r="B229" s="32" t="n">
        <v>45721</v>
      </c>
      <c r="C229" s="31" t="s">
        <v>113</v>
      </c>
      <c r="D229" s="31" t="s">
        <v>114</v>
      </c>
      <c r="E229" s="31" t="s">
        <v>81</v>
      </c>
      <c r="F229" s="31" t="s">
        <v>41</v>
      </c>
      <c r="G229" s="31" t="s">
        <v>42</v>
      </c>
      <c r="H229" s="31" t="n">
        <v>5</v>
      </c>
      <c r="I229" s="33" t="n">
        <v>59.99</v>
      </c>
      <c r="J229" s="31" t="s">
        <v>73</v>
      </c>
      <c r="K229" s="31" t="s">
        <v>25</v>
      </c>
      <c r="L229" s="31" t="s">
        <v>22</v>
      </c>
      <c r="M229" s="32" t="n">
        <v>45291</v>
      </c>
      <c r="N229" s="33" t="n">
        <v>299.95</v>
      </c>
    </row>
    <row r="230" customFormat="false" ht="15" hidden="false" customHeight="true" outlineLevel="0" collapsed="false">
      <c r="A230" s="34" t="s">
        <v>404</v>
      </c>
      <c r="B230" s="35" t="n">
        <v>45723</v>
      </c>
      <c r="C230" s="34" t="s">
        <v>70</v>
      </c>
      <c r="D230" s="34" t="s">
        <v>71</v>
      </c>
      <c r="E230" s="34" t="s">
        <v>150</v>
      </c>
      <c r="F230" s="34" t="s">
        <v>40</v>
      </c>
      <c r="G230" s="34" t="s">
        <v>36</v>
      </c>
      <c r="H230" s="34" t="n">
        <v>2</v>
      </c>
      <c r="I230" s="36" t="n">
        <v>89.99</v>
      </c>
      <c r="J230" s="34" t="s">
        <v>77</v>
      </c>
      <c r="K230" s="34" t="s">
        <v>25</v>
      </c>
      <c r="L230" s="34" t="s">
        <v>22</v>
      </c>
      <c r="M230" s="35" t="n">
        <v>45295</v>
      </c>
      <c r="N230" s="36" t="n">
        <v>179.98</v>
      </c>
    </row>
    <row r="231" customFormat="false" ht="15" hidden="false" customHeight="true" outlineLevel="0" collapsed="false">
      <c r="A231" s="31" t="s">
        <v>405</v>
      </c>
      <c r="B231" s="32" t="n">
        <v>45723</v>
      </c>
      <c r="C231" s="31" t="s">
        <v>152</v>
      </c>
      <c r="D231" s="31" t="s">
        <v>153</v>
      </c>
      <c r="E231" s="31" t="s">
        <v>72</v>
      </c>
      <c r="F231" s="31" t="s">
        <v>39</v>
      </c>
      <c r="G231" s="31" t="s">
        <v>36</v>
      </c>
      <c r="H231" s="31" t="n">
        <v>5</v>
      </c>
      <c r="I231" s="33" t="n">
        <v>249.99</v>
      </c>
      <c r="J231" s="31" t="s">
        <v>73</v>
      </c>
      <c r="K231" s="31" t="s">
        <v>23</v>
      </c>
      <c r="L231" s="31" t="s">
        <v>19</v>
      </c>
      <c r="M231" s="32" t="n">
        <v>44540</v>
      </c>
      <c r="N231" s="33" t="n">
        <v>1249.95</v>
      </c>
    </row>
    <row r="232" customFormat="false" ht="15" hidden="false" customHeight="true" outlineLevel="0" collapsed="false">
      <c r="A232" s="34" t="s">
        <v>406</v>
      </c>
      <c r="B232" s="35" t="n">
        <v>45724</v>
      </c>
      <c r="C232" s="34" t="s">
        <v>256</v>
      </c>
      <c r="D232" s="34" t="s">
        <v>257</v>
      </c>
      <c r="E232" s="34" t="s">
        <v>89</v>
      </c>
      <c r="F232" s="34" t="s">
        <v>44</v>
      </c>
      <c r="G232" s="34" t="s">
        <v>45</v>
      </c>
      <c r="H232" s="34" t="n">
        <v>2</v>
      </c>
      <c r="I232" s="36" t="n">
        <v>149.99</v>
      </c>
      <c r="J232" s="34" t="s">
        <v>82</v>
      </c>
      <c r="K232" s="34" t="s">
        <v>27</v>
      </c>
      <c r="L232" s="34" t="s">
        <v>22</v>
      </c>
      <c r="M232" s="35" t="n">
        <v>44632</v>
      </c>
      <c r="N232" s="36" t="n">
        <v>299.98</v>
      </c>
    </row>
    <row r="233" customFormat="false" ht="15" hidden="false" customHeight="true" outlineLevel="0" collapsed="false">
      <c r="A233" s="31" t="s">
        <v>407</v>
      </c>
      <c r="B233" s="32" t="n">
        <v>45724</v>
      </c>
      <c r="C233" s="31" t="s">
        <v>174</v>
      </c>
      <c r="D233" s="31" t="s">
        <v>175</v>
      </c>
      <c r="E233" s="31" t="s">
        <v>102</v>
      </c>
      <c r="F233" s="31" t="s">
        <v>35</v>
      </c>
      <c r="G233" s="31" t="s">
        <v>36</v>
      </c>
      <c r="H233" s="31" t="n">
        <v>5</v>
      </c>
      <c r="I233" s="33" t="n">
        <v>899.99</v>
      </c>
      <c r="J233" s="31" t="s">
        <v>82</v>
      </c>
      <c r="K233" s="31" t="s">
        <v>23</v>
      </c>
      <c r="L233" s="31" t="s">
        <v>22</v>
      </c>
      <c r="M233" s="32" t="n">
        <v>45389</v>
      </c>
      <c r="N233" s="33" t="n">
        <v>4499.95</v>
      </c>
    </row>
    <row r="234" customFormat="false" ht="15" hidden="false" customHeight="true" outlineLevel="0" collapsed="false">
      <c r="A234" s="34" t="s">
        <v>408</v>
      </c>
      <c r="B234" s="35" t="n">
        <v>45724</v>
      </c>
      <c r="C234" s="34" t="s">
        <v>96</v>
      </c>
      <c r="D234" s="34" t="s">
        <v>97</v>
      </c>
      <c r="E234" s="34" t="s">
        <v>89</v>
      </c>
      <c r="F234" s="34" t="s">
        <v>44</v>
      </c>
      <c r="G234" s="34" t="s">
        <v>45</v>
      </c>
      <c r="H234" s="34" t="n">
        <v>4</v>
      </c>
      <c r="I234" s="36" t="n">
        <v>149.99</v>
      </c>
      <c r="J234" s="34" t="s">
        <v>73</v>
      </c>
      <c r="K234" s="34" t="s">
        <v>27</v>
      </c>
      <c r="L234" s="34" t="s">
        <v>19</v>
      </c>
      <c r="M234" s="35" t="n">
        <v>45263</v>
      </c>
      <c r="N234" s="36" t="n">
        <v>599.96</v>
      </c>
    </row>
    <row r="235" customFormat="false" ht="15" hidden="false" customHeight="true" outlineLevel="0" collapsed="false">
      <c r="A235" s="31" t="s">
        <v>409</v>
      </c>
      <c r="B235" s="32" t="n">
        <v>45726</v>
      </c>
      <c r="C235" s="31" t="s">
        <v>174</v>
      </c>
      <c r="D235" s="31" t="s">
        <v>175</v>
      </c>
      <c r="E235" s="31" t="s">
        <v>72</v>
      </c>
      <c r="F235" s="31" t="s">
        <v>39</v>
      </c>
      <c r="G235" s="31" t="s">
        <v>36</v>
      </c>
      <c r="H235" s="31" t="n">
        <v>1</v>
      </c>
      <c r="I235" s="33" t="n">
        <v>249.99</v>
      </c>
      <c r="J235" s="31" t="s">
        <v>73</v>
      </c>
      <c r="K235" s="31" t="s">
        <v>17</v>
      </c>
      <c r="L235" s="31" t="s">
        <v>19</v>
      </c>
      <c r="M235" s="32" t="n">
        <v>45117</v>
      </c>
      <c r="N235" s="33" t="n">
        <v>249.99</v>
      </c>
    </row>
    <row r="236" customFormat="false" ht="15" hidden="false" customHeight="true" outlineLevel="0" collapsed="false">
      <c r="A236" s="34" t="s">
        <v>410</v>
      </c>
      <c r="B236" s="35" t="n">
        <v>45734</v>
      </c>
      <c r="C236" s="34" t="s">
        <v>222</v>
      </c>
      <c r="D236" s="34" t="s">
        <v>223</v>
      </c>
      <c r="E236" s="34" t="s">
        <v>81</v>
      </c>
      <c r="F236" s="34" t="s">
        <v>41</v>
      </c>
      <c r="G236" s="34" t="s">
        <v>42</v>
      </c>
      <c r="H236" s="34" t="n">
        <v>2</v>
      </c>
      <c r="I236" s="36" t="n">
        <v>59.99</v>
      </c>
      <c r="J236" s="34" t="s">
        <v>77</v>
      </c>
      <c r="K236" s="34" t="s">
        <v>25</v>
      </c>
      <c r="L236" s="34" t="s">
        <v>74</v>
      </c>
      <c r="M236" s="35" t="n">
        <v>45193</v>
      </c>
      <c r="N236" s="36" t="n">
        <v>119.98</v>
      </c>
    </row>
    <row r="237" customFormat="false" ht="15" hidden="false" customHeight="true" outlineLevel="0" collapsed="false">
      <c r="A237" s="31" t="s">
        <v>411</v>
      </c>
      <c r="B237" s="32" t="n">
        <v>45737</v>
      </c>
      <c r="C237" s="31" t="s">
        <v>162</v>
      </c>
      <c r="D237" s="31" t="s">
        <v>163</v>
      </c>
      <c r="E237" s="31" t="s">
        <v>89</v>
      </c>
      <c r="F237" s="31" t="s">
        <v>44</v>
      </c>
      <c r="G237" s="31" t="s">
        <v>45</v>
      </c>
      <c r="H237" s="31" t="n">
        <v>2</v>
      </c>
      <c r="I237" s="33" t="n">
        <v>149.99</v>
      </c>
      <c r="J237" s="31" t="s">
        <v>73</v>
      </c>
      <c r="K237" s="31" t="s">
        <v>25</v>
      </c>
      <c r="L237" s="31" t="s">
        <v>22</v>
      </c>
      <c r="M237" s="32" t="n">
        <v>45233</v>
      </c>
      <c r="N237" s="33" t="n">
        <v>299.98</v>
      </c>
    </row>
    <row r="238" customFormat="false" ht="15" hidden="false" customHeight="true" outlineLevel="0" collapsed="false">
      <c r="A238" s="34" t="s">
        <v>412</v>
      </c>
      <c r="B238" s="35" t="n">
        <v>45737</v>
      </c>
      <c r="C238" s="34" t="s">
        <v>180</v>
      </c>
      <c r="D238" s="34" t="s">
        <v>181</v>
      </c>
      <c r="E238" s="34" t="s">
        <v>102</v>
      </c>
      <c r="F238" s="34" t="s">
        <v>35</v>
      </c>
      <c r="G238" s="34" t="s">
        <v>36</v>
      </c>
      <c r="H238" s="34" t="n">
        <v>3</v>
      </c>
      <c r="I238" s="36" t="n">
        <v>899.99</v>
      </c>
      <c r="J238" s="34" t="s">
        <v>98</v>
      </c>
      <c r="K238" s="34" t="s">
        <v>17</v>
      </c>
      <c r="L238" s="34" t="s">
        <v>22</v>
      </c>
      <c r="M238" s="35" t="n">
        <v>44876</v>
      </c>
      <c r="N238" s="36" t="n">
        <v>2699.97</v>
      </c>
    </row>
    <row r="239" customFormat="false" ht="15" hidden="false" customHeight="true" outlineLevel="0" collapsed="false">
      <c r="A239" s="31" t="s">
        <v>413</v>
      </c>
      <c r="B239" s="32" t="n">
        <v>45737</v>
      </c>
      <c r="C239" s="31" t="s">
        <v>91</v>
      </c>
      <c r="D239" s="31" t="s">
        <v>92</v>
      </c>
      <c r="E239" s="31" t="s">
        <v>102</v>
      </c>
      <c r="F239" s="31" t="s">
        <v>35</v>
      </c>
      <c r="G239" s="31" t="s">
        <v>36</v>
      </c>
      <c r="H239" s="31" t="n">
        <v>3</v>
      </c>
      <c r="I239" s="33" t="n">
        <v>899.99</v>
      </c>
      <c r="J239" s="31" t="s">
        <v>82</v>
      </c>
      <c r="K239" s="31" t="s">
        <v>17</v>
      </c>
      <c r="L239" s="31" t="s">
        <v>74</v>
      </c>
      <c r="M239" s="32" t="n">
        <v>44975</v>
      </c>
      <c r="N239" s="33" t="n">
        <v>2699.97</v>
      </c>
    </row>
    <row r="240" customFormat="false" ht="15" hidden="false" customHeight="true" outlineLevel="0" collapsed="false">
      <c r="A240" s="34" t="s">
        <v>414</v>
      </c>
      <c r="B240" s="35" t="n">
        <v>45739</v>
      </c>
      <c r="C240" s="34" t="s">
        <v>70</v>
      </c>
      <c r="D240" s="34" t="s">
        <v>71</v>
      </c>
      <c r="E240" s="34" t="s">
        <v>140</v>
      </c>
      <c r="F240" s="34" t="s">
        <v>46</v>
      </c>
      <c r="G240" s="34" t="s">
        <v>45</v>
      </c>
      <c r="H240" s="34" t="n">
        <v>3</v>
      </c>
      <c r="I240" s="36" t="n">
        <v>299.99</v>
      </c>
      <c r="J240" s="34" t="s">
        <v>77</v>
      </c>
      <c r="K240" s="34" t="s">
        <v>25</v>
      </c>
      <c r="L240" s="34" t="s">
        <v>22</v>
      </c>
      <c r="M240" s="35" t="n">
        <v>45234</v>
      </c>
      <c r="N240" s="36" t="n">
        <v>899.97</v>
      </c>
    </row>
    <row r="241" customFormat="false" ht="15" hidden="false" customHeight="true" outlineLevel="0" collapsed="false">
      <c r="A241" s="31" t="s">
        <v>415</v>
      </c>
      <c r="B241" s="32" t="n">
        <v>45740</v>
      </c>
      <c r="C241" s="31" t="s">
        <v>416</v>
      </c>
      <c r="D241" s="31" t="s">
        <v>417</v>
      </c>
      <c r="E241" s="31" t="s">
        <v>89</v>
      </c>
      <c r="F241" s="31" t="s">
        <v>44</v>
      </c>
      <c r="G241" s="31" t="s">
        <v>45</v>
      </c>
      <c r="H241" s="31" t="n">
        <v>4</v>
      </c>
      <c r="I241" s="33" t="n">
        <v>149.99</v>
      </c>
      <c r="J241" s="31" t="s">
        <v>82</v>
      </c>
      <c r="K241" s="31" t="s">
        <v>25</v>
      </c>
      <c r="L241" s="31" t="s">
        <v>19</v>
      </c>
      <c r="M241" s="32" t="n">
        <v>44560</v>
      </c>
      <c r="N241" s="33" t="n">
        <v>599.96</v>
      </c>
    </row>
    <row r="242" customFormat="false" ht="15" hidden="false" customHeight="true" outlineLevel="0" collapsed="false">
      <c r="A242" s="34" t="s">
        <v>418</v>
      </c>
      <c r="B242" s="35" t="n">
        <v>45743</v>
      </c>
      <c r="C242" s="34" t="s">
        <v>137</v>
      </c>
      <c r="D242" s="34" t="s">
        <v>138</v>
      </c>
      <c r="E242" s="34" t="s">
        <v>148</v>
      </c>
      <c r="F242" s="34" t="s">
        <v>43</v>
      </c>
      <c r="G242" s="34" t="s">
        <v>42</v>
      </c>
      <c r="H242" s="34" t="n">
        <v>4</v>
      </c>
      <c r="I242" s="36" t="n">
        <v>79.99</v>
      </c>
      <c r="J242" s="34" t="s">
        <v>77</v>
      </c>
      <c r="K242" s="34" t="s">
        <v>27</v>
      </c>
      <c r="L242" s="34" t="s">
        <v>74</v>
      </c>
      <c r="M242" s="35" t="n">
        <v>45288</v>
      </c>
      <c r="N242" s="36" t="n">
        <v>319.96</v>
      </c>
    </row>
    <row r="243" customFormat="false" ht="15" hidden="false" customHeight="true" outlineLevel="0" collapsed="false">
      <c r="A243" s="31" t="s">
        <v>419</v>
      </c>
      <c r="B243" s="32" t="n">
        <v>45745</v>
      </c>
      <c r="C243" s="31" t="s">
        <v>215</v>
      </c>
      <c r="D243" s="31" t="s">
        <v>216</v>
      </c>
      <c r="E243" s="31" t="s">
        <v>150</v>
      </c>
      <c r="F243" s="31" t="s">
        <v>40</v>
      </c>
      <c r="G243" s="31" t="s">
        <v>36</v>
      </c>
      <c r="H243" s="31" t="n">
        <v>5</v>
      </c>
      <c r="I243" s="33" t="n">
        <v>89.99</v>
      </c>
      <c r="J243" s="31" t="s">
        <v>82</v>
      </c>
      <c r="K243" s="31" t="s">
        <v>20</v>
      </c>
      <c r="L243" s="31" t="s">
        <v>74</v>
      </c>
      <c r="M243" s="32" t="n">
        <v>44704</v>
      </c>
      <c r="N243" s="33" t="n">
        <v>449.95</v>
      </c>
    </row>
    <row r="244" customFormat="false" ht="15" hidden="false" customHeight="true" outlineLevel="0" collapsed="false">
      <c r="A244" s="34" t="s">
        <v>420</v>
      </c>
      <c r="B244" s="35" t="n">
        <v>45746</v>
      </c>
      <c r="C244" s="34" t="s">
        <v>129</v>
      </c>
      <c r="D244" s="34" t="s">
        <v>130</v>
      </c>
      <c r="E244" s="34" t="s">
        <v>89</v>
      </c>
      <c r="F244" s="34" t="s">
        <v>44</v>
      </c>
      <c r="G244" s="34" t="s">
        <v>45</v>
      </c>
      <c r="H244" s="34" t="n">
        <v>3</v>
      </c>
      <c r="I244" s="36" t="n">
        <v>149.99</v>
      </c>
      <c r="J244" s="34" t="s">
        <v>82</v>
      </c>
      <c r="K244" s="34" t="s">
        <v>27</v>
      </c>
      <c r="L244" s="34" t="s">
        <v>19</v>
      </c>
      <c r="M244" s="35" t="n">
        <v>45171</v>
      </c>
      <c r="N244" s="36" t="n">
        <v>449.97</v>
      </c>
    </row>
    <row r="245" customFormat="false" ht="15" hidden="false" customHeight="true" outlineLevel="0" collapsed="false">
      <c r="A245" s="31" t="s">
        <v>421</v>
      </c>
      <c r="B245" s="32" t="n">
        <v>45746</v>
      </c>
      <c r="C245" s="31" t="s">
        <v>104</v>
      </c>
      <c r="D245" s="31" t="s">
        <v>24</v>
      </c>
      <c r="E245" s="31" t="s">
        <v>150</v>
      </c>
      <c r="F245" s="31" t="s">
        <v>40</v>
      </c>
      <c r="G245" s="31" t="s">
        <v>36</v>
      </c>
      <c r="H245" s="31" t="n">
        <v>2</v>
      </c>
      <c r="I245" s="33" t="n">
        <v>89.99</v>
      </c>
      <c r="J245" s="31" t="s">
        <v>98</v>
      </c>
      <c r="K245" s="31" t="s">
        <v>25</v>
      </c>
      <c r="L245" s="31" t="s">
        <v>22</v>
      </c>
      <c r="M245" s="32" t="n">
        <v>44522</v>
      </c>
      <c r="N245" s="33" t="n">
        <v>179.98</v>
      </c>
    </row>
    <row r="246" customFormat="false" ht="15" hidden="false" customHeight="true" outlineLevel="0" collapsed="false">
      <c r="A246" s="34" t="s">
        <v>422</v>
      </c>
      <c r="B246" s="35" t="n">
        <v>45748</v>
      </c>
      <c r="C246" s="34" t="s">
        <v>137</v>
      </c>
      <c r="D246" s="34" t="s">
        <v>138</v>
      </c>
      <c r="E246" s="34" t="s">
        <v>118</v>
      </c>
      <c r="F246" s="34" t="s">
        <v>37</v>
      </c>
      <c r="G246" s="34" t="s">
        <v>36</v>
      </c>
      <c r="H246" s="34" t="n">
        <v>2</v>
      </c>
      <c r="I246" s="36" t="n">
        <v>699.99</v>
      </c>
      <c r="J246" s="34" t="s">
        <v>82</v>
      </c>
      <c r="K246" s="34" t="s">
        <v>17</v>
      </c>
      <c r="L246" s="34" t="s">
        <v>19</v>
      </c>
      <c r="M246" s="35" t="n">
        <v>44618</v>
      </c>
      <c r="N246" s="36" t="n">
        <v>1399.98</v>
      </c>
    </row>
    <row r="247" customFormat="false" ht="15" hidden="false" customHeight="true" outlineLevel="0" collapsed="false">
      <c r="A247" s="31" t="s">
        <v>423</v>
      </c>
      <c r="B247" s="32" t="n">
        <v>45749</v>
      </c>
      <c r="C247" s="31" t="s">
        <v>155</v>
      </c>
      <c r="D247" s="31" t="s">
        <v>21</v>
      </c>
      <c r="E247" s="31" t="s">
        <v>102</v>
      </c>
      <c r="F247" s="31" t="s">
        <v>35</v>
      </c>
      <c r="G247" s="31" t="s">
        <v>36</v>
      </c>
      <c r="H247" s="31" t="n">
        <v>3</v>
      </c>
      <c r="I247" s="33" t="n">
        <v>899.99</v>
      </c>
      <c r="J247" s="31" t="s">
        <v>73</v>
      </c>
      <c r="K247" s="31" t="s">
        <v>27</v>
      </c>
      <c r="L247" s="31" t="s">
        <v>19</v>
      </c>
      <c r="M247" s="32" t="n">
        <v>44953</v>
      </c>
      <c r="N247" s="33" t="n">
        <v>2699.97</v>
      </c>
    </row>
    <row r="248" customFormat="false" ht="15" hidden="false" customHeight="true" outlineLevel="0" collapsed="false">
      <c r="A248" s="34" t="s">
        <v>424</v>
      </c>
      <c r="B248" s="35" t="n">
        <v>45755</v>
      </c>
      <c r="C248" s="34" t="s">
        <v>129</v>
      </c>
      <c r="D248" s="34" t="s">
        <v>130</v>
      </c>
      <c r="E248" s="34" t="s">
        <v>148</v>
      </c>
      <c r="F248" s="34" t="s">
        <v>43</v>
      </c>
      <c r="G248" s="34" t="s">
        <v>42</v>
      </c>
      <c r="H248" s="34" t="n">
        <v>3</v>
      </c>
      <c r="I248" s="36" t="n">
        <v>79.99</v>
      </c>
      <c r="J248" s="34" t="s">
        <v>77</v>
      </c>
      <c r="K248" s="34" t="s">
        <v>17</v>
      </c>
      <c r="L248" s="34" t="s">
        <v>74</v>
      </c>
      <c r="M248" s="35" t="n">
        <v>44511</v>
      </c>
      <c r="N248" s="36" t="n">
        <v>239.97</v>
      </c>
    </row>
    <row r="249" customFormat="false" ht="15" hidden="false" customHeight="true" outlineLevel="0" collapsed="false">
      <c r="A249" s="31" t="s">
        <v>425</v>
      </c>
      <c r="B249" s="32" t="n">
        <v>45756</v>
      </c>
      <c r="C249" s="31" t="s">
        <v>100</v>
      </c>
      <c r="D249" s="31" t="s">
        <v>101</v>
      </c>
      <c r="E249" s="31" t="s">
        <v>150</v>
      </c>
      <c r="F249" s="31" t="s">
        <v>40</v>
      </c>
      <c r="G249" s="31" t="s">
        <v>36</v>
      </c>
      <c r="H249" s="31" t="n">
        <v>1</v>
      </c>
      <c r="I249" s="33" t="n">
        <v>89.99</v>
      </c>
      <c r="J249" s="31" t="s">
        <v>98</v>
      </c>
      <c r="K249" s="31" t="s">
        <v>23</v>
      </c>
      <c r="L249" s="31" t="s">
        <v>74</v>
      </c>
      <c r="M249" s="32" t="n">
        <v>45346</v>
      </c>
      <c r="N249" s="33" t="n">
        <v>89.99</v>
      </c>
    </row>
    <row r="250" customFormat="false" ht="15" hidden="false" customHeight="true" outlineLevel="0" collapsed="false">
      <c r="A250" s="34" t="s">
        <v>426</v>
      </c>
      <c r="B250" s="35" t="n">
        <v>45758</v>
      </c>
      <c r="C250" s="34" t="s">
        <v>323</v>
      </c>
      <c r="D250" s="34" t="s">
        <v>324</v>
      </c>
      <c r="E250" s="34" t="s">
        <v>118</v>
      </c>
      <c r="F250" s="34" t="s">
        <v>37</v>
      </c>
      <c r="G250" s="34" t="s">
        <v>36</v>
      </c>
      <c r="H250" s="34" t="n">
        <v>3</v>
      </c>
      <c r="I250" s="36" t="n">
        <v>699.99</v>
      </c>
      <c r="J250" s="34" t="s">
        <v>82</v>
      </c>
      <c r="K250" s="34" t="s">
        <v>17</v>
      </c>
      <c r="L250" s="34" t="s">
        <v>74</v>
      </c>
      <c r="M250" s="35" t="n">
        <v>44909</v>
      </c>
      <c r="N250" s="36" t="n">
        <v>2099.97</v>
      </c>
    </row>
    <row r="251" customFormat="false" ht="15" hidden="false" customHeight="true" outlineLevel="0" collapsed="false">
      <c r="A251" s="31" t="s">
        <v>427</v>
      </c>
      <c r="B251" s="32" t="n">
        <v>45758</v>
      </c>
      <c r="C251" s="31" t="s">
        <v>256</v>
      </c>
      <c r="D251" s="31" t="s">
        <v>257</v>
      </c>
      <c r="E251" s="31" t="s">
        <v>150</v>
      </c>
      <c r="F251" s="31" t="s">
        <v>40</v>
      </c>
      <c r="G251" s="31" t="s">
        <v>36</v>
      </c>
      <c r="H251" s="31" t="n">
        <v>2</v>
      </c>
      <c r="I251" s="33" t="n">
        <v>89.99</v>
      </c>
      <c r="J251" s="31" t="s">
        <v>98</v>
      </c>
      <c r="K251" s="31" t="s">
        <v>23</v>
      </c>
      <c r="L251" s="31" t="s">
        <v>74</v>
      </c>
      <c r="M251" s="32" t="n">
        <v>45088</v>
      </c>
      <c r="N251" s="33" t="n">
        <v>179.98</v>
      </c>
    </row>
    <row r="252" customFormat="false" ht="15" hidden="false" customHeight="true" outlineLevel="0" collapsed="false">
      <c r="A252" s="34" t="s">
        <v>428</v>
      </c>
      <c r="B252" s="35" t="n">
        <v>45758</v>
      </c>
      <c r="C252" s="34" t="s">
        <v>168</v>
      </c>
      <c r="D252" s="34" t="s">
        <v>169</v>
      </c>
      <c r="E252" s="34" t="s">
        <v>150</v>
      </c>
      <c r="F252" s="34" t="s">
        <v>40</v>
      </c>
      <c r="G252" s="34" t="s">
        <v>36</v>
      </c>
      <c r="H252" s="34" t="n">
        <v>3</v>
      </c>
      <c r="I252" s="36" t="n">
        <v>89.99</v>
      </c>
      <c r="J252" s="34" t="s">
        <v>98</v>
      </c>
      <c r="K252" s="34" t="s">
        <v>17</v>
      </c>
      <c r="L252" s="34" t="s">
        <v>22</v>
      </c>
      <c r="M252" s="35" t="n">
        <v>44878</v>
      </c>
      <c r="N252" s="36" t="n">
        <v>269.97</v>
      </c>
    </row>
  </sheetData>
  <autoFilter ref="A2:N252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5" min="4" style="1" width="20"/>
    <col collapsed="false" customWidth="true" hidden="false" outlineLevel="0" max="8" min="6" style="1" width="22"/>
  </cols>
  <sheetData>
    <row r="1" customFormat="false" ht="27.75" hidden="false" customHeight="true" outlineLevel="0" collapsed="false">
      <c r="A1" s="37" t="s">
        <v>429</v>
      </c>
      <c r="B1" s="37"/>
      <c r="C1" s="37"/>
      <c r="D1" s="37"/>
      <c r="E1" s="37"/>
      <c r="F1" s="37"/>
      <c r="G1" s="37"/>
      <c r="H1" s="37"/>
    </row>
    <row r="3" customFormat="false" ht="36" hidden="false" customHeight="true" outlineLevel="0" collapsed="false">
      <c r="A3" s="15" t="s">
        <v>58</v>
      </c>
      <c r="B3" s="15" t="s">
        <v>59</v>
      </c>
      <c r="C3" s="15" t="s">
        <v>67</v>
      </c>
      <c r="D3" s="30" t="s">
        <v>430</v>
      </c>
      <c r="E3" s="30" t="s">
        <v>431</v>
      </c>
      <c r="F3" s="30" t="s">
        <v>432</v>
      </c>
      <c r="G3" s="30" t="s">
        <v>433</v>
      </c>
      <c r="H3" s="30" t="s">
        <v>434</v>
      </c>
    </row>
    <row r="4" customFormat="false" ht="15" hidden="false" customHeight="true" outlineLevel="0" collapsed="false">
      <c r="A4" s="34" t="s">
        <v>69</v>
      </c>
      <c r="B4" s="35" t="n">
        <v>45393</v>
      </c>
      <c r="C4" s="35" t="n">
        <v>44425</v>
      </c>
      <c r="D4" s="38" t="n">
        <f aca="true">TODAY()-B4</f>
        <v>763</v>
      </c>
      <c r="E4" s="34" t="str">
        <f aca="true">DATEDIF(C4,TODAY(),"Y")&amp;" yrs"</f>
        <v>4 yrs</v>
      </c>
      <c r="F4" s="35" t="n">
        <f aca="false">EOMONTH(B4,0)</f>
        <v>45412</v>
      </c>
      <c r="G4" s="34" t="str">
        <f aca="false">TEXT(B4,"mmmm yyyy")</f>
        <v>April 2024</v>
      </c>
      <c r="H4" s="34" t="str">
        <f aca="false">"Q"&amp;INT((MONTH(B4)-1)/3+1)&amp;"-"&amp;YEAR(B4)</f>
        <v>Q2-2024</v>
      </c>
    </row>
    <row r="5" customFormat="false" ht="15" hidden="false" customHeight="true" outlineLevel="0" collapsed="false">
      <c r="A5" s="31" t="s">
        <v>75</v>
      </c>
      <c r="B5" s="32" t="n">
        <v>45396</v>
      </c>
      <c r="C5" s="32" t="n">
        <v>44575</v>
      </c>
      <c r="D5" s="39" t="n">
        <f aca="true">TODAY()-B5</f>
        <v>760</v>
      </c>
      <c r="E5" s="31" t="str">
        <f aca="true">DATEDIF(C5,TODAY(),"Y")&amp;" yrs"</f>
        <v>4 yrs</v>
      </c>
      <c r="F5" s="32" t="n">
        <f aca="false">EOMONTH(B5,0)</f>
        <v>45412</v>
      </c>
      <c r="G5" s="31" t="str">
        <f aca="false">TEXT(B5,"mmmm yyyy")</f>
        <v>April 2024</v>
      </c>
      <c r="H5" s="31" t="str">
        <f aca="false">"Q"&amp;INT((MONTH(B5)-1)/3+1)&amp;"-"&amp;YEAR(B5)</f>
        <v>Q2-2024</v>
      </c>
    </row>
    <row r="6" customFormat="false" ht="15" hidden="false" customHeight="true" outlineLevel="0" collapsed="false">
      <c r="A6" s="34" t="s">
        <v>78</v>
      </c>
      <c r="B6" s="35" t="n">
        <v>45399</v>
      </c>
      <c r="C6" s="35" t="n">
        <v>45262</v>
      </c>
      <c r="D6" s="38" t="n">
        <f aca="true">TODAY()-B6</f>
        <v>757</v>
      </c>
      <c r="E6" s="34" t="str">
        <f aca="true">DATEDIF(C6,TODAY(),"Y")&amp;" yrs"</f>
        <v>2 yrs</v>
      </c>
      <c r="F6" s="35" t="n">
        <f aca="false">EOMONTH(B6,0)</f>
        <v>45412</v>
      </c>
      <c r="G6" s="34" t="str">
        <f aca="false">TEXT(B6,"mmmm yyyy")</f>
        <v>April 2024</v>
      </c>
      <c r="H6" s="34" t="str">
        <f aca="false">"Q"&amp;INT((MONTH(B6)-1)/3+1)&amp;"-"&amp;YEAR(B6)</f>
        <v>Q2-2024</v>
      </c>
    </row>
    <row r="7" customFormat="false" ht="15" hidden="false" customHeight="true" outlineLevel="0" collapsed="false">
      <c r="A7" s="31" t="s">
        <v>83</v>
      </c>
      <c r="B7" s="32" t="n">
        <v>45400</v>
      </c>
      <c r="C7" s="32" t="n">
        <v>45114</v>
      </c>
      <c r="D7" s="39" t="n">
        <f aca="true">TODAY()-B7</f>
        <v>756</v>
      </c>
      <c r="E7" s="31" t="str">
        <f aca="true">DATEDIF(C7,TODAY(),"Y")&amp;" yrs"</f>
        <v>2 yrs</v>
      </c>
      <c r="F7" s="32" t="n">
        <f aca="false">EOMONTH(B7,0)</f>
        <v>45412</v>
      </c>
      <c r="G7" s="31" t="str">
        <f aca="false">TEXT(B7,"mmmm yyyy")</f>
        <v>April 2024</v>
      </c>
      <c r="H7" s="31" t="str">
        <f aca="false">"Q"&amp;INT((MONTH(B7)-1)/3+1)&amp;"-"&amp;YEAR(B7)</f>
        <v>Q2-2024</v>
      </c>
    </row>
    <row r="8" customFormat="false" ht="15" hidden="false" customHeight="true" outlineLevel="0" collapsed="false">
      <c r="A8" s="34" t="s">
        <v>86</v>
      </c>
      <c r="B8" s="35" t="n">
        <v>45400</v>
      </c>
      <c r="C8" s="35" t="n">
        <v>45295</v>
      </c>
      <c r="D8" s="38" t="n">
        <f aca="true">TODAY()-B8</f>
        <v>756</v>
      </c>
      <c r="E8" s="34" t="str">
        <f aca="true">DATEDIF(C8,TODAY(),"Y")&amp;" yrs"</f>
        <v>2 yrs</v>
      </c>
      <c r="F8" s="35" t="n">
        <f aca="false">EOMONTH(B8,0)</f>
        <v>45412</v>
      </c>
      <c r="G8" s="34" t="str">
        <f aca="false">TEXT(B8,"mmmm yyyy")</f>
        <v>April 2024</v>
      </c>
      <c r="H8" s="34" t="str">
        <f aca="false">"Q"&amp;INT((MONTH(B8)-1)/3+1)&amp;"-"&amp;YEAR(B8)</f>
        <v>Q2-2024</v>
      </c>
    </row>
    <row r="9" customFormat="false" ht="15" hidden="false" customHeight="true" outlineLevel="0" collapsed="false">
      <c r="A9" s="31" t="s">
        <v>90</v>
      </c>
      <c r="B9" s="32" t="n">
        <v>45403</v>
      </c>
      <c r="C9" s="32" t="n">
        <v>44746</v>
      </c>
      <c r="D9" s="39" t="n">
        <f aca="true">TODAY()-B9</f>
        <v>753</v>
      </c>
      <c r="E9" s="31" t="str">
        <f aca="true">DATEDIF(C9,TODAY(),"Y")&amp;" yrs"</f>
        <v>3 yrs</v>
      </c>
      <c r="F9" s="32" t="n">
        <f aca="false">EOMONTH(B9,0)</f>
        <v>45412</v>
      </c>
      <c r="G9" s="31" t="str">
        <f aca="false">TEXT(B9,"mmmm yyyy")</f>
        <v>April 2024</v>
      </c>
      <c r="H9" s="31" t="str">
        <f aca="false">"Q"&amp;INT((MONTH(B9)-1)/3+1)&amp;"-"&amp;YEAR(B9)</f>
        <v>Q2-2024</v>
      </c>
    </row>
    <row r="10" customFormat="false" ht="15" hidden="false" customHeight="true" outlineLevel="0" collapsed="false">
      <c r="A10" s="34" t="s">
        <v>93</v>
      </c>
      <c r="B10" s="35" t="n">
        <v>45403</v>
      </c>
      <c r="C10" s="35" t="n">
        <v>44418</v>
      </c>
      <c r="D10" s="38" t="n">
        <f aca="true">TODAY()-B10</f>
        <v>753</v>
      </c>
      <c r="E10" s="34" t="str">
        <f aca="true">DATEDIF(C10,TODAY(),"Y")&amp;" yrs"</f>
        <v>4 yrs</v>
      </c>
      <c r="F10" s="35" t="n">
        <f aca="false">EOMONTH(B10,0)</f>
        <v>45412</v>
      </c>
      <c r="G10" s="34" t="str">
        <f aca="false">TEXT(B10,"mmmm yyyy")</f>
        <v>April 2024</v>
      </c>
      <c r="H10" s="34" t="str">
        <f aca="false">"Q"&amp;INT((MONTH(B10)-1)/3+1)&amp;"-"&amp;YEAR(B10)</f>
        <v>Q2-2024</v>
      </c>
    </row>
    <row r="11" customFormat="false" ht="15" hidden="false" customHeight="true" outlineLevel="0" collapsed="false">
      <c r="A11" s="31" t="s">
        <v>95</v>
      </c>
      <c r="B11" s="32" t="n">
        <v>45403</v>
      </c>
      <c r="C11" s="32" t="n">
        <v>45007</v>
      </c>
      <c r="D11" s="39" t="n">
        <f aca="true">TODAY()-B11</f>
        <v>753</v>
      </c>
      <c r="E11" s="31" t="str">
        <f aca="true">DATEDIF(C11,TODAY(),"Y")&amp;" yrs"</f>
        <v>3 yrs</v>
      </c>
      <c r="F11" s="32" t="n">
        <f aca="false">EOMONTH(B11,0)</f>
        <v>45412</v>
      </c>
      <c r="G11" s="31" t="str">
        <f aca="false">TEXT(B11,"mmmm yyyy")</f>
        <v>April 2024</v>
      </c>
      <c r="H11" s="31" t="str">
        <f aca="false">"Q"&amp;INT((MONTH(B11)-1)/3+1)&amp;"-"&amp;YEAR(B11)</f>
        <v>Q2-2024</v>
      </c>
    </row>
    <row r="12" customFormat="false" ht="15" hidden="false" customHeight="true" outlineLevel="0" collapsed="false">
      <c r="A12" s="34" t="s">
        <v>99</v>
      </c>
      <c r="B12" s="35" t="n">
        <v>45405</v>
      </c>
      <c r="C12" s="35" t="n">
        <v>45299</v>
      </c>
      <c r="D12" s="38" t="n">
        <f aca="true">TODAY()-B12</f>
        <v>751</v>
      </c>
      <c r="E12" s="34" t="str">
        <f aca="true">DATEDIF(C12,TODAY(),"Y")&amp;" yrs"</f>
        <v>2 yrs</v>
      </c>
      <c r="F12" s="35" t="n">
        <f aca="false">EOMONTH(B12,0)</f>
        <v>45412</v>
      </c>
      <c r="G12" s="34" t="str">
        <f aca="false">TEXT(B12,"mmmm yyyy")</f>
        <v>April 2024</v>
      </c>
      <c r="H12" s="34" t="str">
        <f aca="false">"Q"&amp;INT((MONTH(B12)-1)/3+1)&amp;"-"&amp;YEAR(B12)</f>
        <v>Q2-2024</v>
      </c>
    </row>
    <row r="13" customFormat="false" ht="15" hidden="false" customHeight="true" outlineLevel="0" collapsed="false">
      <c r="A13" s="31" t="s">
        <v>103</v>
      </c>
      <c r="B13" s="32" t="n">
        <v>45408</v>
      </c>
      <c r="C13" s="32" t="n">
        <v>45207</v>
      </c>
      <c r="D13" s="39" t="n">
        <f aca="true">TODAY()-B13</f>
        <v>748</v>
      </c>
      <c r="E13" s="31" t="str">
        <f aca="true">DATEDIF(C13,TODAY(),"Y")&amp;" yrs"</f>
        <v>2 yrs</v>
      </c>
      <c r="F13" s="32" t="n">
        <f aca="false">EOMONTH(B13,0)</f>
        <v>45412</v>
      </c>
      <c r="G13" s="31" t="str">
        <f aca="false">TEXT(B13,"mmmm yyyy")</f>
        <v>April 2024</v>
      </c>
      <c r="H13" s="31" t="str">
        <f aca="false">"Q"&amp;INT((MONTH(B13)-1)/3+1)&amp;"-"&amp;YEAR(B13)</f>
        <v>Q2-2024</v>
      </c>
    </row>
    <row r="14" customFormat="false" ht="15" hidden="false" customHeight="true" outlineLevel="0" collapsed="false">
      <c r="A14" s="34" t="s">
        <v>105</v>
      </c>
      <c r="B14" s="35" t="n">
        <v>45408</v>
      </c>
      <c r="C14" s="35" t="n">
        <v>45103</v>
      </c>
      <c r="D14" s="38" t="n">
        <f aca="true">TODAY()-B14</f>
        <v>748</v>
      </c>
      <c r="E14" s="34" t="str">
        <f aca="true">DATEDIF(C14,TODAY(),"Y")&amp;" yrs"</f>
        <v>2 yrs</v>
      </c>
      <c r="F14" s="35" t="n">
        <f aca="false">EOMONTH(B14,0)</f>
        <v>45412</v>
      </c>
      <c r="G14" s="34" t="str">
        <f aca="false">TEXT(B14,"mmmm yyyy")</f>
        <v>April 2024</v>
      </c>
      <c r="H14" s="34" t="str">
        <f aca="false">"Q"&amp;INT((MONTH(B14)-1)/3+1)&amp;"-"&amp;YEAR(B14)</f>
        <v>Q2-2024</v>
      </c>
    </row>
    <row r="15" customFormat="false" ht="15" hidden="false" customHeight="true" outlineLevel="0" collapsed="false">
      <c r="A15" s="31" t="s">
        <v>108</v>
      </c>
      <c r="B15" s="32" t="n">
        <v>45408</v>
      </c>
      <c r="C15" s="32" t="n">
        <v>44830</v>
      </c>
      <c r="D15" s="39" t="n">
        <f aca="true">TODAY()-B15</f>
        <v>748</v>
      </c>
      <c r="E15" s="31" t="str">
        <f aca="true">DATEDIF(C15,TODAY(),"Y")&amp;" yrs"</f>
        <v>3 yrs</v>
      </c>
      <c r="F15" s="32" t="n">
        <f aca="false">EOMONTH(B15,0)</f>
        <v>45412</v>
      </c>
      <c r="G15" s="31" t="str">
        <f aca="false">TEXT(B15,"mmmm yyyy")</f>
        <v>April 2024</v>
      </c>
      <c r="H15" s="31" t="str">
        <f aca="false">"Q"&amp;INT((MONTH(B15)-1)/3+1)&amp;"-"&amp;YEAR(B15)</f>
        <v>Q2-2024</v>
      </c>
    </row>
    <row r="16" customFormat="false" ht="15" hidden="false" customHeight="true" outlineLevel="0" collapsed="false">
      <c r="A16" s="34" t="s">
        <v>109</v>
      </c>
      <c r="B16" s="35" t="n">
        <v>45408</v>
      </c>
      <c r="C16" s="35" t="n">
        <v>44806</v>
      </c>
      <c r="D16" s="38" t="n">
        <f aca="true">TODAY()-B16</f>
        <v>748</v>
      </c>
      <c r="E16" s="34" t="str">
        <f aca="true">DATEDIF(C16,TODAY(),"Y")&amp;" yrs"</f>
        <v>3 yrs</v>
      </c>
      <c r="F16" s="35" t="n">
        <f aca="false">EOMONTH(B16,0)</f>
        <v>45412</v>
      </c>
      <c r="G16" s="34" t="str">
        <f aca="false">TEXT(B16,"mmmm yyyy")</f>
        <v>April 2024</v>
      </c>
      <c r="H16" s="34" t="str">
        <f aca="false">"Q"&amp;INT((MONTH(B16)-1)/3+1)&amp;"-"&amp;YEAR(B16)</f>
        <v>Q2-2024</v>
      </c>
    </row>
    <row r="17" customFormat="false" ht="15" hidden="false" customHeight="true" outlineLevel="0" collapsed="false">
      <c r="A17" s="31" t="s">
        <v>112</v>
      </c>
      <c r="B17" s="32" t="n">
        <v>45409</v>
      </c>
      <c r="C17" s="32" t="n">
        <v>45351</v>
      </c>
      <c r="D17" s="39" t="n">
        <f aca="true">TODAY()-B17</f>
        <v>747</v>
      </c>
      <c r="E17" s="31" t="str">
        <f aca="true">DATEDIF(C17,TODAY(),"Y")&amp;" yrs"</f>
        <v>2 yrs</v>
      </c>
      <c r="F17" s="32" t="n">
        <f aca="false">EOMONTH(B17,0)</f>
        <v>45412</v>
      </c>
      <c r="G17" s="31" t="str">
        <f aca="false">TEXT(B17,"mmmm yyyy")</f>
        <v>April 2024</v>
      </c>
      <c r="H17" s="31" t="str">
        <f aca="false">"Q"&amp;INT((MONTH(B17)-1)/3+1)&amp;"-"&amp;YEAR(B17)</f>
        <v>Q2-2024</v>
      </c>
    </row>
    <row r="18" customFormat="false" ht="15" hidden="false" customHeight="true" outlineLevel="0" collapsed="false">
      <c r="A18" s="34" t="s">
        <v>115</v>
      </c>
      <c r="B18" s="35" t="n">
        <v>45409</v>
      </c>
      <c r="C18" s="35" t="n">
        <v>44577</v>
      </c>
      <c r="D18" s="38" t="n">
        <f aca="true">TODAY()-B18</f>
        <v>747</v>
      </c>
      <c r="E18" s="34" t="str">
        <f aca="true">DATEDIF(C18,TODAY(),"Y")&amp;" yrs"</f>
        <v>4 yrs</v>
      </c>
      <c r="F18" s="35" t="n">
        <f aca="false">EOMONTH(B18,0)</f>
        <v>45412</v>
      </c>
      <c r="G18" s="34" t="str">
        <f aca="false">TEXT(B18,"mmmm yyyy")</f>
        <v>April 2024</v>
      </c>
      <c r="H18" s="34" t="str">
        <f aca="false">"Q"&amp;INT((MONTH(B18)-1)/3+1)&amp;"-"&amp;YEAR(B18)</f>
        <v>Q2-2024</v>
      </c>
    </row>
    <row r="19" customFormat="false" ht="15" hidden="false" customHeight="true" outlineLevel="0" collapsed="false">
      <c r="A19" s="31" t="s">
        <v>119</v>
      </c>
      <c r="B19" s="32" t="n">
        <v>45409</v>
      </c>
      <c r="C19" s="32" t="n">
        <v>44920</v>
      </c>
      <c r="D19" s="39" t="n">
        <f aca="true">TODAY()-B19</f>
        <v>747</v>
      </c>
      <c r="E19" s="31" t="str">
        <f aca="true">DATEDIF(C19,TODAY(),"Y")&amp;" yrs"</f>
        <v>3 yrs</v>
      </c>
      <c r="F19" s="32" t="n">
        <f aca="false">EOMONTH(B19,0)</f>
        <v>45412</v>
      </c>
      <c r="G19" s="31" t="str">
        <f aca="false">TEXT(B19,"mmmm yyyy")</f>
        <v>April 2024</v>
      </c>
      <c r="H19" s="31" t="str">
        <f aca="false">"Q"&amp;INT((MONTH(B19)-1)/3+1)&amp;"-"&amp;YEAR(B19)</f>
        <v>Q2-2024</v>
      </c>
    </row>
    <row r="20" customFormat="false" ht="15" hidden="false" customHeight="true" outlineLevel="0" collapsed="false">
      <c r="A20" s="34" t="s">
        <v>122</v>
      </c>
      <c r="B20" s="35" t="n">
        <v>45410</v>
      </c>
      <c r="C20" s="35" t="n">
        <v>45374</v>
      </c>
      <c r="D20" s="38" t="n">
        <f aca="true">TODAY()-B20</f>
        <v>746</v>
      </c>
      <c r="E20" s="34" t="str">
        <f aca="true">DATEDIF(C20,TODAY(),"Y")&amp;" yrs"</f>
        <v>2 yrs</v>
      </c>
      <c r="F20" s="35" t="n">
        <f aca="false">EOMONTH(B20,0)</f>
        <v>45412</v>
      </c>
      <c r="G20" s="34" t="str">
        <f aca="false">TEXT(B20,"mmmm yyyy")</f>
        <v>April 2024</v>
      </c>
      <c r="H20" s="34" t="str">
        <f aca="false">"Q"&amp;INT((MONTH(B20)-1)/3+1)&amp;"-"&amp;YEAR(B20)</f>
        <v>Q2-2024</v>
      </c>
    </row>
    <row r="21" customFormat="false" ht="15" hidden="false" customHeight="true" outlineLevel="0" collapsed="false">
      <c r="A21" s="31" t="s">
        <v>124</v>
      </c>
      <c r="B21" s="32" t="n">
        <v>45410</v>
      </c>
      <c r="C21" s="32" t="n">
        <v>44781</v>
      </c>
      <c r="D21" s="39" t="n">
        <f aca="true">TODAY()-B21</f>
        <v>746</v>
      </c>
      <c r="E21" s="31" t="str">
        <f aca="true">DATEDIF(C21,TODAY(),"Y")&amp;" yrs"</f>
        <v>3 yrs</v>
      </c>
      <c r="F21" s="32" t="n">
        <f aca="false">EOMONTH(B21,0)</f>
        <v>45412</v>
      </c>
      <c r="G21" s="31" t="str">
        <f aca="false">TEXT(B21,"mmmm yyyy")</f>
        <v>April 2024</v>
      </c>
      <c r="H21" s="31" t="str">
        <f aca="false">"Q"&amp;INT((MONTH(B21)-1)/3+1)&amp;"-"&amp;YEAR(B21)</f>
        <v>Q2-2024</v>
      </c>
    </row>
    <row r="22" customFormat="false" ht="15" hidden="false" customHeight="true" outlineLevel="0" collapsed="false">
      <c r="A22" s="34" t="s">
        <v>127</v>
      </c>
      <c r="B22" s="35" t="n">
        <v>45410</v>
      </c>
      <c r="C22" s="35" t="n">
        <v>45327</v>
      </c>
      <c r="D22" s="38" t="n">
        <f aca="true">TODAY()-B22</f>
        <v>746</v>
      </c>
      <c r="E22" s="34" t="str">
        <f aca="true">DATEDIF(C22,TODAY(),"Y")&amp;" yrs"</f>
        <v>2 yrs</v>
      </c>
      <c r="F22" s="35" t="n">
        <f aca="false">EOMONTH(B22,0)</f>
        <v>45412</v>
      </c>
      <c r="G22" s="34" t="str">
        <f aca="false">TEXT(B22,"mmmm yyyy")</f>
        <v>April 2024</v>
      </c>
      <c r="H22" s="34" t="str">
        <f aca="false">"Q"&amp;INT((MONTH(B22)-1)/3+1)&amp;"-"&amp;YEAR(B22)</f>
        <v>Q2-2024</v>
      </c>
    </row>
    <row r="23" customFormat="false" ht="15" hidden="false" customHeight="true" outlineLevel="0" collapsed="false">
      <c r="A23" s="31" t="s">
        <v>128</v>
      </c>
      <c r="B23" s="32" t="n">
        <v>45410</v>
      </c>
      <c r="C23" s="32" t="n">
        <v>45224</v>
      </c>
      <c r="D23" s="39" t="n">
        <f aca="true">TODAY()-B23</f>
        <v>746</v>
      </c>
      <c r="E23" s="31" t="str">
        <f aca="true">DATEDIF(C23,TODAY(),"Y")&amp;" yrs"</f>
        <v>2 yrs</v>
      </c>
      <c r="F23" s="32" t="n">
        <f aca="false">EOMONTH(B23,0)</f>
        <v>45412</v>
      </c>
      <c r="G23" s="31" t="str">
        <f aca="false">TEXT(B23,"mmmm yyyy")</f>
        <v>April 2024</v>
      </c>
      <c r="H23" s="31" t="str">
        <f aca="false">"Q"&amp;INT((MONTH(B23)-1)/3+1)&amp;"-"&amp;YEAR(B23)</f>
        <v>Q2-2024</v>
      </c>
    </row>
    <row r="25" customFormat="false" ht="15" hidden="false" customHeight="true" outlineLevel="0" collapsed="false">
      <c r="A25" s="14" t="s">
        <v>435</v>
      </c>
      <c r="B25" s="14"/>
      <c r="C25" s="14"/>
      <c r="D25" s="14"/>
    </row>
    <row r="26" customFormat="false" ht="15" hidden="false" customHeight="true" outlineLevel="0" collapsed="false">
      <c r="A26" s="40" t="s">
        <v>436</v>
      </c>
      <c r="B26" s="40" t="s">
        <v>437</v>
      </c>
    </row>
    <row r="27" customFormat="false" ht="15" hidden="false" customHeight="true" outlineLevel="0" collapsed="false">
      <c r="A27" s="16" t="s">
        <v>438</v>
      </c>
      <c r="B27" s="41" t="n">
        <f aca="true">TODAY()</f>
        <v>46156</v>
      </c>
    </row>
    <row r="28" customFormat="false" ht="15" hidden="false" customHeight="true" outlineLevel="0" collapsed="false">
      <c r="A28" s="16" t="s">
        <v>439</v>
      </c>
      <c r="B28" s="41" t="n">
        <f aca="false">MIN(Raw_Data!B3:B252)</f>
        <v>45393</v>
      </c>
    </row>
    <row r="29" customFormat="false" ht="15" hidden="false" customHeight="true" outlineLevel="0" collapsed="false">
      <c r="A29" s="16" t="s">
        <v>440</v>
      </c>
      <c r="B29" s="41" t="n">
        <f aca="false">MAX(Raw_Data!B3:B252)</f>
        <v>45758</v>
      </c>
    </row>
    <row r="30" customFormat="false" ht="15" hidden="false" customHeight="true" outlineLevel="0" collapsed="false">
      <c r="A30" s="16" t="s">
        <v>441</v>
      </c>
      <c r="B30" s="42" t="n">
        <f aca="false">MAX(Raw_Data!B3:B252)-MIN(Raw_Data!B3:B252)</f>
        <v>365</v>
      </c>
    </row>
  </sheetData>
  <mergeCells count="2">
    <mergeCell ref="A1:H1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7" min="7" style="1" width="20"/>
    <col collapsed="false" customWidth="true" hidden="false" outlineLevel="0" max="10" min="8" style="1" width="18"/>
  </cols>
  <sheetData>
    <row r="1" customFormat="false" ht="27.75" hidden="false" customHeight="true" outlineLevel="0" collapsed="false">
      <c r="A1" s="37" t="s">
        <v>442</v>
      </c>
      <c r="B1" s="37"/>
      <c r="C1" s="37"/>
      <c r="D1" s="37"/>
      <c r="E1" s="37"/>
      <c r="F1" s="37"/>
      <c r="G1" s="37"/>
      <c r="H1" s="37"/>
      <c r="I1" s="37"/>
      <c r="J1" s="37"/>
    </row>
    <row r="3" customFormat="false" ht="15" hidden="false" customHeight="true" outlineLevel="0" collapsed="false">
      <c r="A3" s="14" t="s">
        <v>443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15" hidden="false" customHeight="true" outlineLevel="0" collapsed="false">
      <c r="A4" s="15" t="s">
        <v>9</v>
      </c>
      <c r="B4" s="15" t="s">
        <v>444</v>
      </c>
      <c r="C4" s="15" t="s">
        <v>445</v>
      </c>
      <c r="D4" s="15" t="s">
        <v>446</v>
      </c>
      <c r="E4" s="15" t="s">
        <v>447</v>
      </c>
      <c r="F4" s="15" t="s">
        <v>448</v>
      </c>
    </row>
    <row r="5" customFormat="false" ht="15" hidden="false" customHeight="true" outlineLevel="0" collapsed="false">
      <c r="A5" s="23" t="s">
        <v>17</v>
      </c>
      <c r="B5" s="23" t="n">
        <f aca="false">COUNTIFS(Raw_Data!K3:K252,A5)</f>
        <v>59</v>
      </c>
      <c r="C5" s="25" t="n">
        <f aca="false">SUMIFS(Raw_Data!N3:N252,Raw_Data!K3:K252,A5)</f>
        <v>50808.31</v>
      </c>
      <c r="D5" s="25" t="n">
        <f aca="false">IFERROR(C5/B5,0)</f>
        <v>861.15779661017</v>
      </c>
      <c r="E5" s="23" t="n">
        <f aca="false">SUMIFS(Raw_Data!H3:H252,Raw_Data!K3:K252,A5)</f>
        <v>169</v>
      </c>
      <c r="F5" s="43" t="n">
        <f aca="false">IFERROR(C5/SUM($C$5:$C$9),0)</f>
        <v>0.221684028275449</v>
      </c>
    </row>
    <row r="6" customFormat="false" ht="15" hidden="false" customHeight="true" outlineLevel="0" collapsed="false">
      <c r="A6" s="21" t="s">
        <v>20</v>
      </c>
      <c r="B6" s="21" t="n">
        <f aca="false">COUNTIFS(Raw_Data!K3:K252,A6)</f>
        <v>42</v>
      </c>
      <c r="C6" s="22" t="n">
        <f aca="false">SUMIFS(Raw_Data!N3:N252,Raw_Data!K3:K252,A6)</f>
        <v>36398.75</v>
      </c>
      <c r="D6" s="22" t="n">
        <f aca="false">IFERROR(C6/B6,0)</f>
        <v>866.636904761905</v>
      </c>
      <c r="E6" s="21" t="n">
        <f aca="false">SUMIFS(Raw_Data!H3:H252,Raw_Data!K3:K252,A6)</f>
        <v>125</v>
      </c>
      <c r="F6" s="44" t="n">
        <f aca="false">IFERROR(C6/SUM($C$5:$C$9),0)</f>
        <v>0.158813027321535</v>
      </c>
    </row>
    <row r="7" customFormat="false" ht="15" hidden="false" customHeight="true" outlineLevel="0" collapsed="false">
      <c r="A7" s="23" t="s">
        <v>23</v>
      </c>
      <c r="B7" s="23" t="n">
        <f aca="false">COUNTIFS(Raw_Data!K3:K252,A7)</f>
        <v>48</v>
      </c>
      <c r="C7" s="25" t="n">
        <f aca="false">SUMIFS(Raw_Data!N3:N252,Raw_Data!K3:K252,A7)</f>
        <v>59288.39</v>
      </c>
      <c r="D7" s="25" t="n">
        <f aca="false">IFERROR(C7/B7,0)</f>
        <v>1235.17479166667</v>
      </c>
      <c r="E7" s="23" t="n">
        <f aca="false">SUMIFS(Raw_Data!H3:H252,Raw_Data!K3:K252,A7)</f>
        <v>161</v>
      </c>
      <c r="F7" s="43" t="n">
        <f aca="false">IFERROR(C7/SUM($C$5:$C$9),0)</f>
        <v>0.258683847684874</v>
      </c>
    </row>
    <row r="8" customFormat="false" ht="15" hidden="false" customHeight="true" outlineLevel="0" collapsed="false">
      <c r="A8" s="21" t="s">
        <v>25</v>
      </c>
      <c r="B8" s="21" t="n">
        <f aca="false">COUNTIFS(Raw_Data!K3:K252,A8)</f>
        <v>47</v>
      </c>
      <c r="C8" s="22" t="n">
        <f aca="false">SUMIFS(Raw_Data!N3:N252,Raw_Data!K3:K252,A8)</f>
        <v>41408.68</v>
      </c>
      <c r="D8" s="22" t="n">
        <f aca="false">IFERROR(C8/B8,0)</f>
        <v>881.035744680851</v>
      </c>
      <c r="E8" s="21" t="n">
        <f aca="false">SUMIFS(Raw_Data!H3:H252,Raw_Data!K3:K252,A8)</f>
        <v>132</v>
      </c>
      <c r="F8" s="44" t="n">
        <f aca="false">IFERROR(C8/SUM($C$5:$C$9),0)</f>
        <v>0.180672078799098</v>
      </c>
    </row>
    <row r="9" customFormat="false" ht="15" hidden="false" customHeight="true" outlineLevel="0" collapsed="false">
      <c r="A9" s="23" t="s">
        <v>27</v>
      </c>
      <c r="B9" s="23" t="n">
        <f aca="false">COUNTIFS(Raw_Data!K3:K252,A9)</f>
        <v>54</v>
      </c>
      <c r="C9" s="25" t="n">
        <f aca="false">SUMIFS(Raw_Data!N3:N252,Raw_Data!K3:K252,A9)</f>
        <v>41288.34</v>
      </c>
      <c r="D9" s="25" t="n">
        <f aca="false">IFERROR(C9/B9,0)</f>
        <v>764.598888888889</v>
      </c>
      <c r="E9" s="23" t="n">
        <f aca="false">SUMIFS(Raw_Data!H3:H252,Raw_Data!K3:K252,A9)</f>
        <v>166</v>
      </c>
      <c r="F9" s="43" t="n">
        <f aca="false">IFERROR(C9/SUM($C$5:$C$9),0)</f>
        <v>0.180147017919044</v>
      </c>
    </row>
    <row r="10" customFormat="false" ht="15" hidden="false" customHeight="true" outlineLevel="0" collapsed="false">
      <c r="A10" s="45" t="s">
        <v>449</v>
      </c>
      <c r="B10" s="45" t="n">
        <f aca="false">SUM(B5:B9)</f>
        <v>250</v>
      </c>
      <c r="C10" s="46" t="n">
        <f aca="false">SUM(C5:C9)</f>
        <v>229192.47</v>
      </c>
      <c r="D10" s="47"/>
      <c r="E10" s="45" t="n">
        <f aca="false">SUM(E5:E9)</f>
        <v>753</v>
      </c>
      <c r="F10" s="47"/>
    </row>
    <row r="12" customFormat="false" ht="15" hidden="false" customHeight="true" outlineLevel="0" collapsed="false">
      <c r="A12" s="14" t="s">
        <v>450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15" t="s">
        <v>30</v>
      </c>
      <c r="B13" s="15" t="s">
        <v>31</v>
      </c>
      <c r="C13" s="15" t="s">
        <v>32</v>
      </c>
      <c r="D13" s="15" t="s">
        <v>10</v>
      </c>
      <c r="E13" s="15" t="s">
        <v>451</v>
      </c>
      <c r="F13" s="15" t="s">
        <v>444</v>
      </c>
    </row>
    <row r="14" customFormat="false" ht="15" hidden="false" customHeight="true" outlineLevel="0" collapsed="false">
      <c r="A14" s="27" t="s">
        <v>35</v>
      </c>
      <c r="B14" s="27" t="s">
        <v>36</v>
      </c>
      <c r="C14" s="27" t="n">
        <f aca="false">SUMIFS(Raw_Data!H3:H252,Raw_Data!F3:F252,A14)</f>
        <v>75</v>
      </c>
      <c r="D14" s="48" t="n">
        <f aca="false">SUMIFS(Raw_Data!N3:N252,Raw_Data!F3:F252,A14)</f>
        <v>67499.25</v>
      </c>
      <c r="E14" s="48" t="n">
        <f aca="false">IFERROR(D14/C14,0)</f>
        <v>899.99</v>
      </c>
      <c r="F14" s="27" t="n">
        <f aca="false">COUNTIFS(Raw_Data!F3:F252,A14)</f>
        <v>24</v>
      </c>
    </row>
    <row r="15" customFormat="false" ht="15" hidden="false" customHeight="true" outlineLevel="0" collapsed="false">
      <c r="A15" s="28" t="s">
        <v>37</v>
      </c>
      <c r="B15" s="28" t="s">
        <v>36</v>
      </c>
      <c r="C15" s="28" t="n">
        <f aca="false">SUMIFS(Raw_Data!H3:H252,Raw_Data!F3:F252,A15)</f>
        <v>96</v>
      </c>
      <c r="D15" s="49" t="n">
        <f aca="false">SUMIFS(Raw_Data!N3:N252,Raw_Data!F3:F252,A15)</f>
        <v>67199.04</v>
      </c>
      <c r="E15" s="49" t="n">
        <f aca="false">IFERROR(D15/C15,0)</f>
        <v>699.99</v>
      </c>
      <c r="F15" s="28" t="n">
        <f aca="false">COUNTIFS(Raw_Data!F3:F252,A15)</f>
        <v>31</v>
      </c>
    </row>
    <row r="16" customFormat="false" ht="15" hidden="false" customHeight="true" outlineLevel="0" collapsed="false">
      <c r="A16" s="27" t="s">
        <v>38</v>
      </c>
      <c r="B16" s="27" t="s">
        <v>36</v>
      </c>
      <c r="C16" s="27" t="n">
        <f aca="false">SUMIFS(Raw_Data!H3:H252,Raw_Data!F3:F252,A16)</f>
        <v>47</v>
      </c>
      <c r="D16" s="48" t="n">
        <f aca="false">SUMIFS(Raw_Data!N3:N252,Raw_Data!F3:F252,A16)</f>
        <v>7049.53</v>
      </c>
      <c r="E16" s="48" t="n">
        <f aca="false">IFERROR(D16/C16,0)</f>
        <v>149.99</v>
      </c>
      <c r="F16" s="27" t="n">
        <f aca="false">COUNTIFS(Raw_Data!F3:F252,A16)</f>
        <v>16</v>
      </c>
    </row>
    <row r="17" customFormat="false" ht="15" hidden="false" customHeight="true" outlineLevel="0" collapsed="false">
      <c r="A17" s="28" t="s">
        <v>39</v>
      </c>
      <c r="B17" s="28" t="s">
        <v>36</v>
      </c>
      <c r="C17" s="28" t="n">
        <f aca="false">SUMIFS(Raw_Data!H3:H252,Raw_Data!F3:F252,A17)</f>
        <v>88</v>
      </c>
      <c r="D17" s="49" t="n">
        <f aca="false">SUMIFS(Raw_Data!N3:N252,Raw_Data!F3:F252,A17)</f>
        <v>21999.12</v>
      </c>
      <c r="E17" s="49" t="n">
        <f aca="false">IFERROR(D17/C17,0)</f>
        <v>249.99</v>
      </c>
      <c r="F17" s="28" t="n">
        <f aca="false">COUNTIFS(Raw_Data!F3:F252,A17)</f>
        <v>26</v>
      </c>
    </row>
    <row r="18" customFormat="false" ht="15" hidden="false" customHeight="true" outlineLevel="0" collapsed="false">
      <c r="A18" s="27" t="s">
        <v>40</v>
      </c>
      <c r="B18" s="27" t="s">
        <v>36</v>
      </c>
      <c r="C18" s="27" t="n">
        <f aca="false">SUMIFS(Raw_Data!H3:H252,Raw_Data!F3:F252,A18)</f>
        <v>89</v>
      </c>
      <c r="D18" s="48" t="n">
        <f aca="false">SUMIFS(Raw_Data!N3:N252,Raw_Data!F3:F252,A18)</f>
        <v>8009.11</v>
      </c>
      <c r="E18" s="48" t="n">
        <f aca="false">IFERROR(D18/C18,0)</f>
        <v>89.99</v>
      </c>
      <c r="F18" s="27" t="n">
        <f aca="false">COUNTIFS(Raw_Data!F3:F252,A18)</f>
        <v>34</v>
      </c>
    </row>
    <row r="19" customFormat="false" ht="15" hidden="false" customHeight="true" outlineLevel="0" collapsed="false">
      <c r="A19" s="28" t="s">
        <v>41</v>
      </c>
      <c r="B19" s="28" t="s">
        <v>42</v>
      </c>
      <c r="C19" s="28" t="n">
        <f aca="false">SUMIFS(Raw_Data!H3:H252,Raw_Data!F3:F252,A19)</f>
        <v>87</v>
      </c>
      <c r="D19" s="49" t="n">
        <f aca="false">SUMIFS(Raw_Data!N3:N252,Raw_Data!F3:F252,A19)</f>
        <v>5219.13</v>
      </c>
      <c r="E19" s="49" t="n">
        <f aca="false">IFERROR(D19/C19,0)</f>
        <v>59.99</v>
      </c>
      <c r="F19" s="28" t="n">
        <f aca="false">COUNTIFS(Raw_Data!F3:F252,A19)</f>
        <v>29</v>
      </c>
    </row>
    <row r="20" customFormat="false" ht="15" hidden="false" customHeight="true" outlineLevel="0" collapsed="false">
      <c r="A20" s="27" t="s">
        <v>43</v>
      </c>
      <c r="B20" s="27" t="s">
        <v>42</v>
      </c>
      <c r="C20" s="27" t="n">
        <f aca="false">SUMIFS(Raw_Data!H3:H252,Raw_Data!F3:F252,A20)</f>
        <v>39</v>
      </c>
      <c r="D20" s="48" t="n">
        <f aca="false">SUMIFS(Raw_Data!N3:N252,Raw_Data!F3:F252,A20)</f>
        <v>3119.61</v>
      </c>
      <c r="E20" s="48" t="n">
        <f aca="false">IFERROR(D20/C20,0)</f>
        <v>79.99</v>
      </c>
      <c r="F20" s="27" t="n">
        <f aca="false">COUNTIFS(Raw_Data!F3:F252,A20)</f>
        <v>14</v>
      </c>
    </row>
    <row r="21" customFormat="false" ht="15" hidden="false" customHeight="true" outlineLevel="0" collapsed="false">
      <c r="A21" s="28" t="s">
        <v>44</v>
      </c>
      <c r="B21" s="28" t="s">
        <v>45</v>
      </c>
      <c r="C21" s="28" t="n">
        <f aca="false">SUMIFS(Raw_Data!H3:H252,Raw_Data!F3:F252,A21)</f>
        <v>102</v>
      </c>
      <c r="D21" s="49" t="n">
        <f aca="false">SUMIFS(Raw_Data!N3:N252,Raw_Data!F3:F252,A21)</f>
        <v>15298.98</v>
      </c>
      <c r="E21" s="49" t="n">
        <f aca="false">IFERROR(D21/C21,0)</f>
        <v>149.99</v>
      </c>
      <c r="F21" s="28" t="n">
        <f aca="false">COUNTIFS(Raw_Data!F3:F252,A21)</f>
        <v>35</v>
      </c>
    </row>
    <row r="22" customFormat="false" ht="15" hidden="false" customHeight="true" outlineLevel="0" collapsed="false">
      <c r="A22" s="27" t="s">
        <v>46</v>
      </c>
      <c r="B22" s="27" t="s">
        <v>45</v>
      </c>
      <c r="C22" s="27" t="n">
        <f aca="false">SUMIFS(Raw_Data!H3:H252,Raw_Data!F3:F252,A22)</f>
        <v>78</v>
      </c>
      <c r="D22" s="48" t="n">
        <f aca="false">SUMIFS(Raw_Data!N3:N252,Raw_Data!F3:F252,A22)</f>
        <v>23399.22</v>
      </c>
      <c r="E22" s="48" t="n">
        <f aca="false">IFERROR(D22/C22,0)</f>
        <v>299.99</v>
      </c>
      <c r="F22" s="27" t="n">
        <f aca="false">COUNTIFS(Raw_Data!F3:F252,A22)</f>
        <v>26</v>
      </c>
    </row>
    <row r="23" customFormat="false" ht="15" hidden="false" customHeight="true" outlineLevel="0" collapsed="false">
      <c r="A23" s="28" t="s">
        <v>47</v>
      </c>
      <c r="B23" s="28" t="s">
        <v>45</v>
      </c>
      <c r="C23" s="28" t="n">
        <f aca="false">SUMIFS(Raw_Data!H3:H252,Raw_Data!F3:F252,A23)</f>
        <v>52</v>
      </c>
      <c r="D23" s="49" t="n">
        <f aca="false">SUMIFS(Raw_Data!N3:N252,Raw_Data!F3:F252,A23)</f>
        <v>10399.48</v>
      </c>
      <c r="E23" s="49" t="n">
        <f aca="false">IFERROR(D23/C23,0)</f>
        <v>199.99</v>
      </c>
      <c r="F23" s="28" t="n">
        <f aca="false">COUNTIFS(Raw_Data!F3:F252,A23)</f>
        <v>15</v>
      </c>
    </row>
    <row r="25" customFormat="false" ht="15" hidden="false" customHeight="true" outlineLevel="0" collapsed="false">
      <c r="A25" s="14" t="s">
        <v>452</v>
      </c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true" outlineLevel="0" collapsed="false">
      <c r="A26" s="15" t="s">
        <v>61</v>
      </c>
      <c r="B26" s="15" t="s">
        <v>60</v>
      </c>
      <c r="C26" s="15" t="s">
        <v>15</v>
      </c>
      <c r="D26" s="15" t="s">
        <v>453</v>
      </c>
      <c r="E26" s="15" t="s">
        <v>444</v>
      </c>
      <c r="F26" s="15" t="s">
        <v>446</v>
      </c>
      <c r="G26" s="15" t="s">
        <v>454</v>
      </c>
    </row>
    <row r="27" customFormat="false" ht="15" hidden="false" customHeight="true" outlineLevel="0" collapsed="false">
      <c r="A27" s="50" t="s">
        <v>18</v>
      </c>
      <c r="B27" s="50" t="s">
        <v>123</v>
      </c>
      <c r="C27" s="50" t="s">
        <v>19</v>
      </c>
      <c r="D27" s="51" t="n">
        <f aca="false">SUMIFS(Raw_Data!N3:N252,Raw_Data!D3:D252,A27)</f>
        <v>15659.65</v>
      </c>
      <c r="E27" s="50" t="n">
        <f aca="false">COUNTIFS(Raw_Data!D3:D252,A27)</f>
        <v>12</v>
      </c>
      <c r="F27" s="51" t="n">
        <f aca="false">IFERROR(D27/E27,0)</f>
        <v>1304.97083333333</v>
      </c>
      <c r="G27" s="50" t="str">
        <f aca="false">UPPER(LEFT(A27,1))&amp;UPPER(MID(A27,FIND(" ",A27)+1,1))</f>
        <v>MC</v>
      </c>
    </row>
    <row r="28" customFormat="false" ht="15" hidden="false" customHeight="true" outlineLevel="0" collapsed="false">
      <c r="A28" s="21" t="s">
        <v>21</v>
      </c>
      <c r="B28" s="21" t="s">
        <v>155</v>
      </c>
      <c r="C28" s="21" t="s">
        <v>22</v>
      </c>
      <c r="D28" s="22" t="n">
        <f aca="false">SUMIFS(Raw_Data!N3:N252,Raw_Data!D3:D252,A28)</f>
        <v>11919.77</v>
      </c>
      <c r="E28" s="21" t="n">
        <f aca="false">COUNTIFS(Raw_Data!D3:D252,A28)</f>
        <v>6</v>
      </c>
      <c r="F28" s="22" t="n">
        <f aca="false">IFERROR(D28/E28,0)</f>
        <v>1986.62833333333</v>
      </c>
      <c r="G28" s="21" t="str">
        <f aca="false">UPPER(LEFT(A28,1))&amp;UPPER(MID(A28,FIND(" ",A28)+1,1))</f>
        <v>EM</v>
      </c>
    </row>
    <row r="29" customFormat="false" ht="15" hidden="false" customHeight="true" outlineLevel="0" collapsed="false">
      <c r="A29" s="23" t="s">
        <v>24</v>
      </c>
      <c r="B29" s="23" t="s">
        <v>104</v>
      </c>
      <c r="C29" s="23" t="s">
        <v>22</v>
      </c>
      <c r="D29" s="25" t="n">
        <f aca="false">SUMIFS(Raw_Data!N3:N252,Raw_Data!D3:D252,A29)</f>
        <v>8009.77</v>
      </c>
      <c r="E29" s="23" t="n">
        <f aca="false">COUNTIFS(Raw_Data!D3:D252,A29)</f>
        <v>8</v>
      </c>
      <c r="F29" s="25" t="n">
        <f aca="false">IFERROR(D29/E29,0)</f>
        <v>1001.22125</v>
      </c>
      <c r="G29" s="23" t="str">
        <f aca="false">UPPER(LEFT(A29,1))&amp;UPPER(MID(A29,FIND(" ",A29)+1,1))</f>
        <v>KH</v>
      </c>
    </row>
    <row r="30" customFormat="false" ht="15" hidden="false" customHeight="true" outlineLevel="0" collapsed="false">
      <c r="A30" s="21" t="s">
        <v>26</v>
      </c>
      <c r="B30" s="21" t="s">
        <v>132</v>
      </c>
      <c r="C30" s="21" t="s">
        <v>19</v>
      </c>
      <c r="D30" s="22" t="n">
        <f aca="false">SUMIFS(Raw_Data!N3:N252,Raw_Data!D3:D252,A30)</f>
        <v>10649.8</v>
      </c>
      <c r="E30" s="21" t="n">
        <f aca="false">COUNTIFS(Raw_Data!D3:D252,A30)</f>
        <v>5</v>
      </c>
      <c r="F30" s="22" t="n">
        <f aca="false">IFERROR(D30/E30,0)</f>
        <v>2129.96</v>
      </c>
      <c r="G30" s="21" t="str">
        <f aca="false">UPPER(LEFT(A30,1))&amp;UPPER(MID(A30,FIND(" ",A30)+1,1))</f>
        <v>BY</v>
      </c>
    </row>
    <row r="31" customFormat="false" ht="15" hidden="false" customHeight="true" outlineLevel="0" collapsed="false">
      <c r="A31" s="23" t="s">
        <v>28</v>
      </c>
      <c r="B31" s="23" t="s">
        <v>76</v>
      </c>
      <c r="C31" s="23" t="s">
        <v>19</v>
      </c>
      <c r="D31" s="25" t="n">
        <f aca="false">SUMIFS(Raw_Data!N3:N252,Raw_Data!D3:D252,A31)</f>
        <v>6949.84</v>
      </c>
      <c r="E31" s="23" t="n">
        <f aca="false">COUNTIFS(Raw_Data!D3:D252,A31)</f>
        <v>5</v>
      </c>
      <c r="F31" s="25" t="n">
        <f aca="false">IFERROR(D31/E31,0)</f>
        <v>1389.968</v>
      </c>
      <c r="G31" s="23" t="str">
        <f aca="false">UPPER(LEFT(A31,1))&amp;UPPER(MID(A31,FIND(" ",A31)+1,1))</f>
        <v>JJ</v>
      </c>
    </row>
    <row r="32" customFormat="false" ht="15" hidden="false" customHeight="true" outlineLevel="0" collapsed="false">
      <c r="A32" s="21" t="s">
        <v>71</v>
      </c>
      <c r="B32" s="21" t="s">
        <v>70</v>
      </c>
      <c r="C32" s="21" t="s">
        <v>19</v>
      </c>
      <c r="D32" s="22" t="n">
        <f aca="false">SUMIFS(Raw_Data!N3:N252,Raw_Data!D3:D252,A32)</f>
        <v>8309.74</v>
      </c>
      <c r="E32" s="21" t="n">
        <f aca="false">COUNTIFS(Raw_Data!D3:D252,A32)</f>
        <v>8</v>
      </c>
      <c r="F32" s="22" t="n">
        <f aca="false">IFERROR(D32/E32,0)</f>
        <v>1038.7175</v>
      </c>
      <c r="G32" s="21" t="str">
        <f aca="false">UPPER(LEFT(A32,1))&amp;UPPER(MID(A32,FIND(" ",A32)+1,1))</f>
        <v>PB</v>
      </c>
    </row>
    <row r="33" customFormat="false" ht="15" hidden="false" customHeight="true" outlineLevel="0" collapsed="false">
      <c r="A33" s="23" t="s">
        <v>189</v>
      </c>
      <c r="B33" s="23" t="s">
        <v>188</v>
      </c>
      <c r="C33" s="23" t="s">
        <v>22</v>
      </c>
      <c r="D33" s="25" t="n">
        <f aca="false">SUMIFS(Raw_Data!N3:N252,Raw_Data!D3:D252,A33)</f>
        <v>5649.84</v>
      </c>
      <c r="E33" s="23" t="n">
        <f aca="false">COUNTIFS(Raw_Data!D3:D252,A33)</f>
        <v>5</v>
      </c>
      <c r="F33" s="25" t="n">
        <f aca="false">IFERROR(D33/E33,0)</f>
        <v>1129.968</v>
      </c>
      <c r="G33" s="23" t="str">
        <f aca="false">UPPER(LEFT(A33,1))&amp;UPPER(MID(A33,FIND(" ",A33)+1,1))</f>
        <v>BC</v>
      </c>
    </row>
    <row r="34" customFormat="false" ht="15" hidden="false" customHeight="true" outlineLevel="0" collapsed="false">
      <c r="A34" s="21" t="s">
        <v>153</v>
      </c>
      <c r="B34" s="21" t="s">
        <v>152</v>
      </c>
      <c r="C34" s="21" t="s">
        <v>19</v>
      </c>
      <c r="D34" s="22" t="n">
        <f aca="false">SUMIFS(Raw_Data!N3:N252,Raw_Data!D3:D252,A34)</f>
        <v>6459.79</v>
      </c>
      <c r="E34" s="21" t="n">
        <f aca="false">COUNTIFS(Raw_Data!D3:D252,A34)</f>
        <v>7</v>
      </c>
      <c r="F34" s="22" t="n">
        <f aca="false">IFERROR(D34/E34,0)</f>
        <v>922.827142857143</v>
      </c>
      <c r="G34" s="21" t="str">
        <f aca="false">UPPER(LEFT(A34,1))&amp;UPPER(MID(A34,FIND(" ",A34)+1,1))</f>
        <v>HR</v>
      </c>
    </row>
    <row r="35" customFormat="false" ht="15" hidden="false" customHeight="true" outlineLevel="0" collapsed="false">
      <c r="A35" s="23" t="s">
        <v>178</v>
      </c>
      <c r="B35" s="23" t="s">
        <v>177</v>
      </c>
      <c r="C35" s="23" t="s">
        <v>19</v>
      </c>
      <c r="D35" s="25" t="n">
        <f aca="false">SUMIFS(Raw_Data!N3:N252,Raw_Data!D3:D252,A35)</f>
        <v>7309.8</v>
      </c>
      <c r="E35" s="23" t="n">
        <f aca="false">COUNTIFS(Raw_Data!D3:D252,A35)</f>
        <v>7</v>
      </c>
      <c r="F35" s="25" t="n">
        <f aca="false">IFERROR(D35/E35,0)</f>
        <v>1044.25714285714</v>
      </c>
      <c r="G35" s="23" t="str">
        <f aca="false">UPPER(LEFT(A35,1))&amp;UPPER(MID(A35,FIND(" ",A35)+1,1))</f>
        <v>DK</v>
      </c>
    </row>
    <row r="36" customFormat="false" ht="15" hidden="false" customHeight="true" outlineLevel="0" collapsed="false">
      <c r="A36" s="21" t="s">
        <v>257</v>
      </c>
      <c r="B36" s="21" t="s">
        <v>256</v>
      </c>
      <c r="C36" s="21" t="s">
        <v>22</v>
      </c>
      <c r="D36" s="22" t="n">
        <f aca="false">SUMIFS(Raw_Data!N3:N252,Raw_Data!D3:D252,A36)</f>
        <v>6989.77</v>
      </c>
      <c r="E36" s="21" t="n">
        <f aca="false">COUNTIFS(Raw_Data!D3:D252,A36)</f>
        <v>8</v>
      </c>
      <c r="F36" s="22" t="n">
        <f aca="false">IFERROR(D36/E36,0)</f>
        <v>873.72125</v>
      </c>
      <c r="G36" s="21" t="str">
        <f aca="false">UPPER(LEFT(A36,1))&amp;UPPER(MID(A36,FIND(" ",A36)+1,1))</f>
        <v>LR</v>
      </c>
    </row>
    <row r="38" customFormat="false" ht="15" hidden="false" customHeight="true" outlineLevel="0" collapsed="false">
      <c r="A38" s="14" t="s">
        <v>455</v>
      </c>
      <c r="B38" s="14"/>
      <c r="C38" s="14"/>
      <c r="D38" s="14"/>
      <c r="E38" s="14"/>
      <c r="F38" s="14"/>
      <c r="G38" s="14"/>
      <c r="H38" s="14"/>
      <c r="I38" s="14"/>
      <c r="J38" s="14"/>
    </row>
    <row r="39" customFormat="false" ht="15" hidden="false" customHeight="true" outlineLevel="0" collapsed="false">
      <c r="A39" s="52" t="s">
        <v>456</v>
      </c>
      <c r="B39" s="53" t="str">
        <f aca="false">INDEX(Raw_Data!F3:F252,MATCH(MAX(COUNTIF(Raw_Data!F3:F252,Raw_Data!F3:F252)),COUNTIF(Raw_Data!F3:F252,Raw_Data!F3:F252),0))</f>
        <v>Office Chair</v>
      </c>
    </row>
    <row r="40" customFormat="false" ht="15" hidden="false" customHeight="true" outlineLevel="0" collapsed="false">
      <c r="A40" s="52" t="s">
        <v>457</v>
      </c>
      <c r="B40" s="53" t="str">
        <f aca="false">INDEX(Raw_Data!D3:D252,MATCH(MAX(COUNTIF(Raw_Data!D3:D252,Raw_Data!D3:D252)),COUNTIF(Raw_Data!D3:D252,Raw_Data!D3:D252),0))</f>
        <v>Susan Green</v>
      </c>
    </row>
    <row r="42" customFormat="false" ht="15" hidden="false" customHeight="true" outlineLevel="0" collapsed="false">
      <c r="A42" s="14" t="s">
        <v>458</v>
      </c>
      <c r="B42" s="14"/>
      <c r="C42" s="14"/>
      <c r="D42" s="14"/>
      <c r="E42" s="14"/>
      <c r="F42" s="14"/>
      <c r="G42" s="14"/>
      <c r="H42" s="14"/>
      <c r="I42" s="14"/>
      <c r="J42" s="14"/>
    </row>
    <row r="43" customFormat="false" ht="15" hidden="false" customHeight="true" outlineLevel="0" collapsed="false">
      <c r="A43" s="15" t="s">
        <v>459</v>
      </c>
      <c r="B43" s="15" t="s">
        <v>460</v>
      </c>
      <c r="C43" s="15" t="s">
        <v>461</v>
      </c>
    </row>
    <row r="44" customFormat="false" ht="15" hidden="false" customHeight="true" outlineLevel="0" collapsed="false">
      <c r="A44" s="16" t="s">
        <v>76</v>
      </c>
      <c r="B44" s="16" t="s">
        <v>79</v>
      </c>
      <c r="C44" s="20" t="str">
        <f aca="false">IF(ISNUMBER(MATCH(A44,$B$44:$B$51,0)),"MATCH","No Match")</f>
        <v>No Match</v>
      </c>
    </row>
    <row r="45" customFormat="false" ht="15" hidden="false" customHeight="true" outlineLevel="0" collapsed="false">
      <c r="A45" s="16" t="s">
        <v>84</v>
      </c>
      <c r="B45" s="16" t="s">
        <v>91</v>
      </c>
      <c r="C45" s="20" t="str">
        <f aca="false">IF(ISNUMBER(MATCH(A45,$B$44:$B$51,0)),"MATCH","No Match")</f>
        <v>No Match</v>
      </c>
    </row>
    <row r="46" customFormat="false" ht="15" hidden="false" customHeight="true" outlineLevel="0" collapsed="false">
      <c r="A46" s="16" t="s">
        <v>87</v>
      </c>
      <c r="B46" s="16" t="s">
        <v>100</v>
      </c>
      <c r="C46" s="20" t="str">
        <f aca="false">IF(ISNUMBER(MATCH(A46,$B$44:$B$51,0)),"MATCH","No Match")</f>
        <v>No Match</v>
      </c>
    </row>
    <row r="47" customFormat="false" ht="15" hidden="false" customHeight="true" outlineLevel="0" collapsed="false">
      <c r="A47" s="16" t="s">
        <v>104</v>
      </c>
      <c r="B47" s="16" t="s">
        <v>106</v>
      </c>
      <c r="C47" s="20" t="str">
        <f aca="false">IF(ISNUMBER(MATCH(A47,$B$44:$B$51,0)),"MATCH","No Match")</f>
        <v>No Match</v>
      </c>
    </row>
    <row r="48" customFormat="false" ht="15" hidden="false" customHeight="true" outlineLevel="0" collapsed="false">
      <c r="A48" s="16" t="s">
        <v>110</v>
      </c>
      <c r="B48" s="16" t="s">
        <v>113</v>
      </c>
      <c r="C48" s="20" t="str">
        <f aca="false">IF(ISNUMBER(MATCH(A48,$B$44:$B$51,0)),"MATCH","No Match")</f>
        <v>No Match</v>
      </c>
    </row>
    <row r="49" customFormat="false" ht="15" hidden="false" customHeight="true" outlineLevel="0" collapsed="false">
      <c r="A49" s="16" t="s">
        <v>123</v>
      </c>
      <c r="B49" s="16" t="s">
        <v>120</v>
      </c>
      <c r="C49" s="20" t="str">
        <f aca="false">IF(ISNUMBER(MATCH(A49,$B$44:$B$51,0)),"MATCH","No Match")</f>
        <v>MATCH</v>
      </c>
    </row>
    <row r="50" customFormat="false" ht="15" hidden="false" customHeight="true" outlineLevel="0" collapsed="false">
      <c r="A50" s="16" t="s">
        <v>129</v>
      </c>
      <c r="B50" s="16" t="s">
        <v>123</v>
      </c>
      <c r="C50" s="20" t="str">
        <f aca="false">IF(ISNUMBER(MATCH(A50,$B$44:$B$51,0)),"MATCH","No Match")</f>
        <v>No Match</v>
      </c>
    </row>
    <row r="51" customFormat="false" ht="15" hidden="false" customHeight="true" outlineLevel="0" collapsed="false">
      <c r="A51" s="16" t="s">
        <v>146</v>
      </c>
      <c r="B51" s="16" t="s">
        <v>134</v>
      </c>
      <c r="C51" s="20" t="str">
        <f aca="false">IF(ISNUMBER(MATCH(A51,$B$44:$B$51,0)),"MATCH","No Match")</f>
        <v>No Match</v>
      </c>
    </row>
    <row r="53" customFormat="false" ht="15" hidden="false" customHeight="true" outlineLevel="0" collapsed="false">
      <c r="A53" s="14" t="s">
        <v>462</v>
      </c>
      <c r="B53" s="14"/>
      <c r="C53" s="14"/>
      <c r="D53" s="14"/>
      <c r="E53" s="14"/>
      <c r="F53" s="14"/>
      <c r="G53" s="14"/>
      <c r="H53" s="14"/>
      <c r="I53" s="14"/>
      <c r="J53" s="14"/>
    </row>
    <row r="54" customFormat="false" ht="15" hidden="false" customHeight="true" outlineLevel="0" collapsed="false">
      <c r="A54" s="15" t="s">
        <v>463</v>
      </c>
      <c r="B54" s="15" t="s">
        <v>464</v>
      </c>
      <c r="C54" s="15" t="s">
        <v>465</v>
      </c>
      <c r="D54" s="15" t="s">
        <v>466</v>
      </c>
      <c r="E54" s="15" t="s">
        <v>467</v>
      </c>
      <c r="F54" s="15" t="s">
        <v>468</v>
      </c>
      <c r="G54" s="15" t="s">
        <v>469</v>
      </c>
    </row>
    <row r="55" customFormat="false" ht="15" hidden="false" customHeight="true" outlineLevel="0" collapsed="false">
      <c r="A55" s="54" t="s">
        <v>71</v>
      </c>
      <c r="B55" s="54" t="str">
        <f aca="false">LEFT(A55,FIND(" ",A55)-1)</f>
        <v>Paul</v>
      </c>
      <c r="C55" s="54" t="str">
        <f aca="false">MID(A55,FIND(" ",A55)+1,LEN(A55))</f>
        <v>Baker</v>
      </c>
      <c r="D55" s="54" t="str">
        <f aca="false">UPPER(A55)</f>
        <v>PAUL BAKER</v>
      </c>
      <c r="E55" s="54" t="str">
        <f aca="false">UPPER(LEFT(A55,1))&amp;"."&amp;UPPER(MID(A55,FIND(" ",A55)+1,1))&amp;"."</f>
        <v>P.B.</v>
      </c>
      <c r="F55" s="54" t="n">
        <f aca="false">LEN(A55)</f>
        <v>10</v>
      </c>
      <c r="G55" s="54" t="str">
        <f aca="false">LEFT("Basic",3)</f>
        <v>Bas</v>
      </c>
    </row>
    <row r="56" customFormat="false" ht="15" hidden="false" customHeight="true" outlineLevel="0" collapsed="false">
      <c r="A56" s="54" t="s">
        <v>28</v>
      </c>
      <c r="B56" s="54" t="str">
        <f aca="false">LEFT(A56,FIND(" ",A56)-1)</f>
        <v>Joseph</v>
      </c>
      <c r="C56" s="54" t="str">
        <f aca="false">MID(A56,FIND(" ",A56)+1,LEN(A56))</f>
        <v>Jackson</v>
      </c>
      <c r="D56" s="54" t="str">
        <f aca="false">UPPER(A56)</f>
        <v>JOSEPH JACKSON</v>
      </c>
      <c r="E56" s="54" t="str">
        <f aca="false">UPPER(LEFT(A56,1))&amp;"."&amp;UPPER(MID(A56,FIND(" ",A56)+1,1))&amp;"."</f>
        <v>J.J.</v>
      </c>
      <c r="F56" s="54" t="n">
        <f aca="false">LEN(A56)</f>
        <v>14</v>
      </c>
      <c r="G56" s="54" t="str">
        <f aca="false">LEFT("Premium",3)</f>
        <v>Pre</v>
      </c>
    </row>
    <row r="57" customFormat="false" ht="15" hidden="false" customHeight="true" outlineLevel="0" collapsed="false">
      <c r="A57" s="54" t="s">
        <v>80</v>
      </c>
      <c r="B57" s="54" t="str">
        <f aca="false">LEFT(A57,FIND(" ",A57)-1)</f>
        <v>Kevin</v>
      </c>
      <c r="C57" s="54" t="str">
        <f aca="false">MID(A57,FIND(" ",A57)+1,LEN(A57))</f>
        <v>Scott</v>
      </c>
      <c r="D57" s="54" t="str">
        <f aca="false">UPPER(A57)</f>
        <v>KEVIN SCOTT</v>
      </c>
      <c r="E57" s="54" t="str">
        <f aca="false">UPPER(LEFT(A57,1))&amp;"."&amp;UPPER(MID(A57,FIND(" ",A57)+1,1))&amp;"."</f>
        <v>K.S.</v>
      </c>
      <c r="F57" s="54" t="n">
        <f aca="false">LEN(A57)</f>
        <v>11</v>
      </c>
      <c r="G57" s="54" t="str">
        <f aca="false">LEFT("Standard",3)</f>
        <v>Sta</v>
      </c>
    </row>
    <row r="58" customFormat="false" ht="15" hidden="false" customHeight="true" outlineLevel="0" collapsed="false">
      <c r="A58" s="54" t="s">
        <v>85</v>
      </c>
      <c r="B58" s="54" t="str">
        <f aca="false">LEFT(A58,FIND(" ",A58)-1)</f>
        <v>Kathleen</v>
      </c>
      <c r="C58" s="54" t="str">
        <f aca="false">MID(A58,FIND(" ",A58)+1,LEN(A58))</f>
        <v>Bennett</v>
      </c>
      <c r="D58" s="54" t="str">
        <f aca="false">UPPER(A58)</f>
        <v>KATHLEEN BENNETT</v>
      </c>
      <c r="E58" s="54" t="str">
        <f aca="false">UPPER(LEFT(A58,1))&amp;"."&amp;UPPER(MID(A58,FIND(" ",A58)+1,1))&amp;"."</f>
        <v>K.B.</v>
      </c>
      <c r="F58" s="54" t="n">
        <f aca="false">LEN(A58)</f>
        <v>16</v>
      </c>
      <c r="G58" s="54" t="str">
        <f aca="false">LEFT("Premium",3)</f>
        <v>Pre</v>
      </c>
    </row>
    <row r="59" customFormat="false" ht="15" hidden="false" customHeight="true" outlineLevel="0" collapsed="false">
      <c r="A59" s="54" t="s">
        <v>88</v>
      </c>
      <c r="B59" s="54" t="str">
        <f aca="false">LEFT(A59,FIND(" ",A59)-1)</f>
        <v>Michael</v>
      </c>
      <c r="C59" s="54" t="str">
        <f aca="false">MID(A59,FIND(" ",A59)+1,LEN(A59))</f>
        <v>Brown</v>
      </c>
      <c r="D59" s="54" t="str">
        <f aca="false">UPPER(A59)</f>
        <v>MICHAEL BROWN</v>
      </c>
      <c r="E59" s="54" t="str">
        <f aca="false">UPPER(LEFT(A59,1))&amp;"."&amp;UPPER(MID(A59,FIND(" ",A59)+1,1))&amp;"."</f>
        <v>M.B.</v>
      </c>
      <c r="F59" s="54" t="n">
        <f aca="false">LEN(A59)</f>
        <v>13</v>
      </c>
      <c r="G59" s="54" t="str">
        <f aca="false">LEFT("Premium",3)</f>
        <v>Pre</v>
      </c>
    </row>
    <row r="60" customFormat="false" ht="15" hidden="false" customHeight="true" outlineLevel="0" collapsed="false">
      <c r="A60" s="54" t="s">
        <v>92</v>
      </c>
      <c r="B60" s="54" t="str">
        <f aca="false">LEFT(A60,FIND(" ",A60)-1)</f>
        <v>Dorothy</v>
      </c>
      <c r="C60" s="54" t="str">
        <f aca="false">MID(A60,FIND(" ",A60)+1,LEN(A60))</f>
        <v>Nelson</v>
      </c>
      <c r="D60" s="54" t="str">
        <f aca="false">UPPER(A60)</f>
        <v>DOROTHY NELSON</v>
      </c>
      <c r="E60" s="54" t="str">
        <f aca="false">UPPER(LEFT(A60,1))&amp;"."&amp;UPPER(MID(A60,FIND(" ",A60)+1,1))&amp;"."</f>
        <v>D.N.</v>
      </c>
      <c r="F60" s="54" t="n">
        <f aca="false">LEN(A60)</f>
        <v>14</v>
      </c>
      <c r="G60" s="54" t="str">
        <f aca="false">LEFT("Standard",3)</f>
        <v>Sta</v>
      </c>
    </row>
    <row r="61" customFormat="false" ht="15" hidden="false" customHeight="true" outlineLevel="0" collapsed="false">
      <c r="A61" s="54" t="s">
        <v>97</v>
      </c>
      <c r="B61" s="54" t="str">
        <f aca="false">LEFT(A61,FIND(" ",A61)-1)</f>
        <v>Charles</v>
      </c>
      <c r="C61" s="54" t="str">
        <f aca="false">MID(A61,FIND(" ",A61)+1,LEN(A61))</f>
        <v>Allen</v>
      </c>
      <c r="D61" s="54" t="str">
        <f aca="false">UPPER(A61)</f>
        <v>CHARLES ALLEN</v>
      </c>
      <c r="E61" s="54" t="str">
        <f aca="false">UPPER(LEFT(A61,1))&amp;"."&amp;UPPER(MID(A61,FIND(" ",A61)+1,1))&amp;"."</f>
        <v>C.A.</v>
      </c>
      <c r="F61" s="54" t="n">
        <f aca="false">LEN(A61)</f>
        <v>13</v>
      </c>
      <c r="G61" s="54" t="str">
        <f aca="false">LEFT("Basic",3)</f>
        <v>Bas</v>
      </c>
    </row>
    <row r="62" customFormat="false" ht="15" hidden="false" customHeight="true" outlineLevel="0" collapsed="false">
      <c r="A62" s="54" t="s">
        <v>101</v>
      </c>
      <c r="B62" s="54" t="str">
        <f aca="false">LEFT(A62,FIND(" ",A62)-1)</f>
        <v>Robert</v>
      </c>
      <c r="C62" s="54" t="str">
        <f aca="false">MID(A62,FIND(" ",A62)+1,LEN(A62))</f>
        <v>Thomas</v>
      </c>
      <c r="D62" s="54" t="str">
        <f aca="false">UPPER(A62)</f>
        <v>ROBERT THOMAS</v>
      </c>
      <c r="E62" s="54" t="str">
        <f aca="false">UPPER(LEFT(A62,1))&amp;"."&amp;UPPER(MID(A62,FIND(" ",A62)+1,1))&amp;"."</f>
        <v>R.T.</v>
      </c>
      <c r="F62" s="54" t="n">
        <f aca="false">LEN(A62)</f>
        <v>13</v>
      </c>
      <c r="G62" s="54" t="str">
        <f aca="false">LEFT("Standard",3)</f>
        <v>Sta</v>
      </c>
    </row>
  </sheetData>
  <mergeCells count="7">
    <mergeCell ref="A1:J1"/>
    <mergeCell ref="A3:J3"/>
    <mergeCell ref="A12:J12"/>
    <mergeCell ref="A25:J25"/>
    <mergeCell ref="A38:J38"/>
    <mergeCell ref="A42:J4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8" min="7" style="1" width="16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37" t="s">
        <v>470</v>
      </c>
      <c r="B1" s="37"/>
      <c r="C1" s="37"/>
      <c r="D1" s="37"/>
      <c r="E1" s="37"/>
      <c r="F1" s="37"/>
      <c r="G1" s="37"/>
      <c r="H1" s="37"/>
      <c r="I1" s="37"/>
    </row>
    <row r="3" customFormat="false" ht="15" hidden="false" customHeight="true" outlineLevel="0" collapsed="false">
      <c r="A3" s="15" t="s">
        <v>58</v>
      </c>
      <c r="B3" s="15" t="s">
        <v>61</v>
      </c>
      <c r="C3" s="15" t="s">
        <v>64</v>
      </c>
      <c r="D3" s="15" t="s">
        <v>65</v>
      </c>
      <c r="E3" s="15" t="s">
        <v>68</v>
      </c>
      <c r="F3" s="15" t="s">
        <v>9</v>
      </c>
      <c r="G3" s="15" t="s">
        <v>31</v>
      </c>
      <c r="H3" s="15" t="s">
        <v>15</v>
      </c>
      <c r="I3" s="15" t="s">
        <v>471</v>
      </c>
    </row>
    <row r="4" customFormat="false" ht="15" hidden="false" customHeight="true" outlineLevel="0" collapsed="false">
      <c r="A4" s="55" t="s">
        <v>69</v>
      </c>
      <c r="B4" s="55" t="s">
        <v>71</v>
      </c>
      <c r="C4" s="55" t="n">
        <v>3</v>
      </c>
      <c r="D4" s="56" t="n">
        <v>249.99</v>
      </c>
      <c r="E4" s="56" t="n">
        <v>749.97</v>
      </c>
      <c r="F4" s="55" t="s">
        <v>27</v>
      </c>
      <c r="G4" s="55" t="s">
        <v>36</v>
      </c>
      <c r="H4" s="55" t="s">
        <v>74</v>
      </c>
      <c r="I4" s="57" t="str">
        <f aca="false">IF(E4&gt;1000,"High",IF(E4&gt;500,"Medium","Low"))</f>
        <v>Medium</v>
      </c>
    </row>
    <row r="5" customFormat="false" ht="15" hidden="false" customHeight="true" outlineLevel="0" collapsed="false">
      <c r="A5" s="55" t="s">
        <v>75</v>
      </c>
      <c r="B5" s="55" t="s">
        <v>28</v>
      </c>
      <c r="C5" s="55" t="n">
        <v>3</v>
      </c>
      <c r="D5" s="56" t="n">
        <v>249.99</v>
      </c>
      <c r="E5" s="56" t="n">
        <v>749.97</v>
      </c>
      <c r="F5" s="55" t="s">
        <v>27</v>
      </c>
      <c r="G5" s="55" t="s">
        <v>36</v>
      </c>
      <c r="H5" s="55" t="s">
        <v>22</v>
      </c>
      <c r="I5" s="57" t="str">
        <f aca="false">IF(E5&gt;1000,"High",IF(E5&gt;500,"Medium","Low"))</f>
        <v>Medium</v>
      </c>
    </row>
    <row r="6" customFormat="false" ht="15" hidden="false" customHeight="true" outlineLevel="0" collapsed="false">
      <c r="A6" s="55" t="s">
        <v>78</v>
      </c>
      <c r="B6" s="55" t="s">
        <v>80</v>
      </c>
      <c r="C6" s="55" t="n">
        <v>3</v>
      </c>
      <c r="D6" s="56" t="n">
        <v>59.99</v>
      </c>
      <c r="E6" s="56" t="n">
        <v>179.97</v>
      </c>
      <c r="F6" s="55" t="s">
        <v>20</v>
      </c>
      <c r="G6" s="55" t="s">
        <v>42</v>
      </c>
      <c r="H6" s="55" t="s">
        <v>19</v>
      </c>
      <c r="I6" s="57" t="str">
        <f aca="false">IF(E6&gt;1000,"High",IF(E6&gt;500,"Medium","Low"))</f>
        <v>Low</v>
      </c>
    </row>
    <row r="7" customFormat="false" ht="15" hidden="false" customHeight="true" outlineLevel="0" collapsed="false">
      <c r="A7" s="55" t="s">
        <v>83</v>
      </c>
      <c r="B7" s="55" t="s">
        <v>85</v>
      </c>
      <c r="C7" s="55" t="n">
        <v>3</v>
      </c>
      <c r="D7" s="56" t="n">
        <v>59.99</v>
      </c>
      <c r="E7" s="56" t="n">
        <v>179.97</v>
      </c>
      <c r="F7" s="55" t="s">
        <v>17</v>
      </c>
      <c r="G7" s="55" t="s">
        <v>42</v>
      </c>
      <c r="H7" s="55" t="s">
        <v>22</v>
      </c>
      <c r="I7" s="57" t="str">
        <f aca="false">IF(E7&gt;1000,"High",IF(E7&gt;500,"Medium","Low"))</f>
        <v>Low</v>
      </c>
    </row>
    <row r="8" customFormat="false" ht="15" hidden="false" customHeight="true" outlineLevel="0" collapsed="false">
      <c r="A8" s="55" t="s">
        <v>86</v>
      </c>
      <c r="B8" s="55" t="s">
        <v>88</v>
      </c>
      <c r="C8" s="55" t="n">
        <v>5</v>
      </c>
      <c r="D8" s="56" t="n">
        <v>149.99</v>
      </c>
      <c r="E8" s="56" t="n">
        <v>749.95</v>
      </c>
      <c r="F8" s="55" t="s">
        <v>17</v>
      </c>
      <c r="G8" s="55" t="s">
        <v>45</v>
      </c>
      <c r="H8" s="55" t="s">
        <v>22</v>
      </c>
      <c r="I8" s="57" t="str">
        <f aca="false">IF(E8&gt;1000,"High",IF(E8&gt;500,"Medium","Low"))</f>
        <v>Medium</v>
      </c>
    </row>
    <row r="9" customFormat="false" ht="15" hidden="false" customHeight="true" outlineLevel="0" collapsed="false">
      <c r="A9" s="55" t="s">
        <v>90</v>
      </c>
      <c r="B9" s="55" t="s">
        <v>92</v>
      </c>
      <c r="C9" s="55" t="n">
        <v>2</v>
      </c>
      <c r="D9" s="56" t="n">
        <v>59.99</v>
      </c>
      <c r="E9" s="56" t="n">
        <v>119.98</v>
      </c>
      <c r="F9" s="55" t="s">
        <v>25</v>
      </c>
      <c r="G9" s="55" t="s">
        <v>42</v>
      </c>
      <c r="H9" s="55" t="s">
        <v>19</v>
      </c>
      <c r="I9" s="57" t="str">
        <f aca="false">IF(E9&gt;1000,"High",IF(E9&gt;500,"Medium","Low"))</f>
        <v>Low</v>
      </c>
    </row>
    <row r="10" customFormat="false" ht="15" hidden="false" customHeight="true" outlineLevel="0" collapsed="false">
      <c r="A10" s="55" t="s">
        <v>93</v>
      </c>
      <c r="B10" s="55" t="s">
        <v>92</v>
      </c>
      <c r="C10" s="55" t="n">
        <v>5</v>
      </c>
      <c r="D10" s="56" t="n">
        <v>149.99</v>
      </c>
      <c r="E10" s="56" t="n">
        <v>749.95</v>
      </c>
      <c r="F10" s="55" t="s">
        <v>27</v>
      </c>
      <c r="G10" s="55" t="s">
        <v>36</v>
      </c>
      <c r="H10" s="55" t="s">
        <v>19</v>
      </c>
      <c r="I10" s="57" t="str">
        <f aca="false">IF(E10&gt;1000,"High",IF(E10&gt;500,"Medium","Low"))</f>
        <v>Medium</v>
      </c>
    </row>
    <row r="11" customFormat="false" ht="15" hidden="false" customHeight="true" outlineLevel="0" collapsed="false">
      <c r="A11" s="55" t="s">
        <v>95</v>
      </c>
      <c r="B11" s="55" t="s">
        <v>97</v>
      </c>
      <c r="C11" s="55" t="n">
        <v>3</v>
      </c>
      <c r="D11" s="56" t="n">
        <v>59.99</v>
      </c>
      <c r="E11" s="56" t="n">
        <v>179.97</v>
      </c>
      <c r="F11" s="55" t="s">
        <v>20</v>
      </c>
      <c r="G11" s="55" t="s">
        <v>42</v>
      </c>
      <c r="H11" s="55" t="s">
        <v>74</v>
      </c>
      <c r="I11" s="57" t="str">
        <f aca="false">IF(E11&gt;1000,"High",IF(E11&gt;500,"Medium","Low"))</f>
        <v>Low</v>
      </c>
    </row>
    <row r="12" customFormat="false" ht="15" hidden="false" customHeight="true" outlineLevel="0" collapsed="false">
      <c r="A12" s="55" t="s">
        <v>99</v>
      </c>
      <c r="B12" s="55" t="s">
        <v>101</v>
      </c>
      <c r="C12" s="55" t="n">
        <v>3</v>
      </c>
      <c r="D12" s="56" t="n">
        <v>899.99</v>
      </c>
      <c r="E12" s="56" t="n">
        <v>2699.97</v>
      </c>
      <c r="F12" s="55" t="s">
        <v>23</v>
      </c>
      <c r="G12" s="55" t="s">
        <v>36</v>
      </c>
      <c r="H12" s="55" t="s">
        <v>19</v>
      </c>
      <c r="I12" s="57" t="str">
        <f aca="false">IF(E12&gt;1000,"High",IF(E12&gt;500,"Medium","Low"))</f>
        <v>High</v>
      </c>
    </row>
    <row r="13" customFormat="false" ht="15" hidden="false" customHeight="true" outlineLevel="0" collapsed="false">
      <c r="A13" s="55" t="s">
        <v>103</v>
      </c>
      <c r="B13" s="55" t="s">
        <v>24</v>
      </c>
      <c r="C13" s="55" t="n">
        <v>3</v>
      </c>
      <c r="D13" s="56" t="n">
        <v>59.99</v>
      </c>
      <c r="E13" s="56" t="n">
        <v>179.97</v>
      </c>
      <c r="F13" s="55" t="s">
        <v>25</v>
      </c>
      <c r="G13" s="55" t="s">
        <v>42</v>
      </c>
      <c r="H13" s="55" t="s">
        <v>22</v>
      </c>
      <c r="I13" s="57" t="str">
        <f aca="false">IF(E13&gt;1000,"High",IF(E13&gt;500,"Medium","Low"))</f>
        <v>Low</v>
      </c>
    </row>
    <row r="14" customFormat="false" ht="15" hidden="false" customHeight="true" outlineLevel="0" collapsed="false">
      <c r="A14" s="55" t="s">
        <v>105</v>
      </c>
      <c r="B14" s="55" t="s">
        <v>107</v>
      </c>
      <c r="C14" s="55" t="n">
        <v>1</v>
      </c>
      <c r="D14" s="56" t="n">
        <v>149.99</v>
      </c>
      <c r="E14" s="56" t="n">
        <v>149.99</v>
      </c>
      <c r="F14" s="55" t="s">
        <v>25</v>
      </c>
      <c r="G14" s="55" t="s">
        <v>45</v>
      </c>
      <c r="H14" s="55" t="s">
        <v>19</v>
      </c>
      <c r="I14" s="57" t="str">
        <f aca="false">IF(E14&gt;1000,"High",IF(E14&gt;500,"Medium","Low"))</f>
        <v>Low</v>
      </c>
    </row>
    <row r="15" customFormat="false" ht="15" hidden="false" customHeight="true" outlineLevel="0" collapsed="false">
      <c r="A15" s="55" t="s">
        <v>108</v>
      </c>
      <c r="B15" s="55" t="s">
        <v>85</v>
      </c>
      <c r="C15" s="55" t="n">
        <v>5</v>
      </c>
      <c r="D15" s="56" t="n">
        <v>149.99</v>
      </c>
      <c r="E15" s="56" t="n">
        <v>749.95</v>
      </c>
      <c r="F15" s="55" t="s">
        <v>17</v>
      </c>
      <c r="G15" s="55" t="s">
        <v>45</v>
      </c>
      <c r="H15" s="55" t="s">
        <v>74</v>
      </c>
      <c r="I15" s="57" t="str">
        <f aca="false">IF(E15&gt;1000,"High",IF(E15&gt;500,"Medium","Low"))</f>
        <v>Medium</v>
      </c>
    </row>
    <row r="16" customFormat="false" ht="15" hidden="false" customHeight="true" outlineLevel="0" collapsed="false">
      <c r="A16" s="55" t="s">
        <v>109</v>
      </c>
      <c r="B16" s="55" t="s">
        <v>111</v>
      </c>
      <c r="C16" s="55" t="n">
        <v>3</v>
      </c>
      <c r="D16" s="56" t="n">
        <v>149.99</v>
      </c>
      <c r="E16" s="56" t="n">
        <v>449.97</v>
      </c>
      <c r="F16" s="55" t="s">
        <v>17</v>
      </c>
      <c r="G16" s="55" t="s">
        <v>45</v>
      </c>
      <c r="H16" s="55" t="s">
        <v>22</v>
      </c>
      <c r="I16" s="57" t="str">
        <f aca="false">IF(E16&gt;1000,"High",IF(E16&gt;500,"Medium","Low"))</f>
        <v>Low</v>
      </c>
    </row>
    <row r="17" customFormat="false" ht="15" hidden="false" customHeight="true" outlineLevel="0" collapsed="false">
      <c r="A17" s="55" t="s">
        <v>112</v>
      </c>
      <c r="B17" s="55" t="s">
        <v>114</v>
      </c>
      <c r="C17" s="55" t="n">
        <v>3</v>
      </c>
      <c r="D17" s="56" t="n">
        <v>59.99</v>
      </c>
      <c r="E17" s="56" t="n">
        <v>179.97</v>
      </c>
      <c r="F17" s="55" t="s">
        <v>17</v>
      </c>
      <c r="G17" s="55" t="s">
        <v>42</v>
      </c>
      <c r="H17" s="55" t="s">
        <v>19</v>
      </c>
      <c r="I17" s="57" t="str">
        <f aca="false">IF(E17&gt;1000,"High",IF(E17&gt;500,"Medium","Low"))</f>
        <v>Low</v>
      </c>
    </row>
    <row r="18" customFormat="false" ht="15" hidden="false" customHeight="true" outlineLevel="0" collapsed="false">
      <c r="A18" s="55" t="s">
        <v>115</v>
      </c>
      <c r="B18" s="55" t="s">
        <v>117</v>
      </c>
      <c r="C18" s="55" t="n">
        <v>3</v>
      </c>
      <c r="D18" s="56" t="n">
        <v>699.99</v>
      </c>
      <c r="E18" s="56" t="n">
        <v>2099.97</v>
      </c>
      <c r="F18" s="55" t="s">
        <v>25</v>
      </c>
      <c r="G18" s="55" t="s">
        <v>36</v>
      </c>
      <c r="H18" s="55" t="s">
        <v>74</v>
      </c>
      <c r="I18" s="57" t="str">
        <f aca="false">IF(E18&gt;1000,"High",IF(E18&gt;500,"Medium","Low"))</f>
        <v>High</v>
      </c>
    </row>
    <row r="19" customFormat="false" ht="15" hidden="false" customHeight="true" outlineLevel="0" collapsed="false">
      <c r="A19" s="55" t="s">
        <v>119</v>
      </c>
      <c r="B19" s="55" t="s">
        <v>121</v>
      </c>
      <c r="C19" s="55" t="n">
        <v>1</v>
      </c>
      <c r="D19" s="56" t="n">
        <v>899.99</v>
      </c>
      <c r="E19" s="56" t="n">
        <v>899.99</v>
      </c>
      <c r="F19" s="55" t="s">
        <v>17</v>
      </c>
      <c r="G19" s="55" t="s">
        <v>36</v>
      </c>
      <c r="H19" s="55" t="s">
        <v>19</v>
      </c>
      <c r="I19" s="57" t="str">
        <f aca="false">IF(E19&gt;1000,"High",IF(E19&gt;500,"Medium","Low"))</f>
        <v>Medium</v>
      </c>
    </row>
    <row r="20" customFormat="false" ht="15" hidden="false" customHeight="true" outlineLevel="0" collapsed="false">
      <c r="A20" s="55" t="s">
        <v>122</v>
      </c>
      <c r="B20" s="55" t="s">
        <v>18</v>
      </c>
      <c r="C20" s="55" t="n">
        <v>4</v>
      </c>
      <c r="D20" s="56" t="n">
        <v>149.99</v>
      </c>
      <c r="E20" s="56" t="n">
        <v>599.96</v>
      </c>
      <c r="F20" s="55" t="s">
        <v>17</v>
      </c>
      <c r="G20" s="55" t="s">
        <v>45</v>
      </c>
      <c r="H20" s="55" t="s">
        <v>22</v>
      </c>
      <c r="I20" s="57" t="str">
        <f aca="false">IF(E20&gt;1000,"High",IF(E20&gt;500,"Medium","Low"))</f>
        <v>Medium</v>
      </c>
    </row>
    <row r="21" customFormat="false" ht="15" hidden="false" customHeight="true" outlineLevel="0" collapsed="false">
      <c r="A21" s="55" t="s">
        <v>124</v>
      </c>
      <c r="B21" s="55" t="s">
        <v>126</v>
      </c>
      <c r="C21" s="55" t="n">
        <v>2</v>
      </c>
      <c r="D21" s="56" t="n">
        <v>699.99</v>
      </c>
      <c r="E21" s="56" t="n">
        <v>1399.98</v>
      </c>
      <c r="F21" s="55" t="s">
        <v>17</v>
      </c>
      <c r="G21" s="55" t="s">
        <v>36</v>
      </c>
      <c r="H21" s="55" t="s">
        <v>74</v>
      </c>
      <c r="I21" s="57" t="str">
        <f aca="false">IF(E21&gt;1000,"High",IF(E21&gt;500,"Medium","Low"))</f>
        <v>High</v>
      </c>
    </row>
    <row r="22" customFormat="false" ht="15" hidden="false" customHeight="true" outlineLevel="0" collapsed="false">
      <c r="A22" s="55" t="s">
        <v>127</v>
      </c>
      <c r="B22" s="55" t="s">
        <v>18</v>
      </c>
      <c r="C22" s="55" t="n">
        <v>4</v>
      </c>
      <c r="D22" s="56" t="n">
        <v>899.99</v>
      </c>
      <c r="E22" s="56" t="n">
        <v>3599.96</v>
      </c>
      <c r="F22" s="55" t="s">
        <v>25</v>
      </c>
      <c r="G22" s="55" t="s">
        <v>36</v>
      </c>
      <c r="H22" s="55" t="s">
        <v>19</v>
      </c>
      <c r="I22" s="57" t="str">
        <f aca="false">IF(E22&gt;1000,"High",IF(E22&gt;500,"Medium","Low"))</f>
        <v>High</v>
      </c>
    </row>
    <row r="23" customFormat="false" ht="15" hidden="false" customHeight="true" outlineLevel="0" collapsed="false">
      <c r="A23" s="55" t="s">
        <v>128</v>
      </c>
      <c r="B23" s="55" t="s">
        <v>130</v>
      </c>
      <c r="C23" s="55" t="n">
        <v>3</v>
      </c>
      <c r="D23" s="56" t="n">
        <v>249.99</v>
      </c>
      <c r="E23" s="56" t="n">
        <v>749.97</v>
      </c>
      <c r="F23" s="55" t="s">
        <v>17</v>
      </c>
      <c r="G23" s="55" t="s">
        <v>36</v>
      </c>
      <c r="H23" s="55" t="s">
        <v>22</v>
      </c>
      <c r="I23" s="57" t="str">
        <f aca="false">IF(E23&gt;1000,"High",IF(E23&gt;500,"Medium","Low"))</f>
        <v>Medium</v>
      </c>
    </row>
    <row r="24" customFormat="false" ht="15" hidden="false" customHeight="true" outlineLevel="0" collapsed="false">
      <c r="A24" s="55" t="s">
        <v>131</v>
      </c>
      <c r="B24" s="55" t="s">
        <v>26</v>
      </c>
      <c r="C24" s="55" t="n">
        <v>5</v>
      </c>
      <c r="D24" s="56" t="n">
        <v>699.99</v>
      </c>
      <c r="E24" s="56" t="n">
        <v>3499.95</v>
      </c>
      <c r="F24" s="55" t="s">
        <v>25</v>
      </c>
      <c r="G24" s="55" t="s">
        <v>36</v>
      </c>
      <c r="H24" s="55" t="s">
        <v>74</v>
      </c>
      <c r="I24" s="57" t="str">
        <f aca="false">IF(E24&gt;1000,"High",IF(E24&gt;500,"Medium","Low"))</f>
        <v>High</v>
      </c>
    </row>
    <row r="25" customFormat="false" ht="15" hidden="false" customHeight="true" outlineLevel="0" collapsed="false">
      <c r="A25" s="55" t="s">
        <v>133</v>
      </c>
      <c r="B25" s="55" t="s">
        <v>135</v>
      </c>
      <c r="C25" s="55" t="n">
        <v>4</v>
      </c>
      <c r="D25" s="56" t="n">
        <v>699.99</v>
      </c>
      <c r="E25" s="56" t="n">
        <v>2799.96</v>
      </c>
      <c r="F25" s="55" t="s">
        <v>23</v>
      </c>
      <c r="G25" s="55" t="s">
        <v>36</v>
      </c>
      <c r="H25" s="55" t="s">
        <v>19</v>
      </c>
      <c r="I25" s="57" t="str">
        <f aca="false">IF(E25&gt;1000,"High",IF(E25&gt;500,"Medium","Low"))</f>
        <v>High</v>
      </c>
    </row>
    <row r="26" customFormat="false" ht="15" hidden="false" customHeight="true" outlineLevel="0" collapsed="false">
      <c r="A26" s="55" t="s">
        <v>136</v>
      </c>
      <c r="B26" s="55" t="s">
        <v>138</v>
      </c>
      <c r="C26" s="55" t="n">
        <v>4</v>
      </c>
      <c r="D26" s="56" t="n">
        <v>249.99</v>
      </c>
      <c r="E26" s="56" t="n">
        <v>999.96</v>
      </c>
      <c r="F26" s="55" t="s">
        <v>17</v>
      </c>
      <c r="G26" s="55" t="s">
        <v>36</v>
      </c>
      <c r="H26" s="55" t="s">
        <v>19</v>
      </c>
      <c r="I26" s="57" t="str">
        <f aca="false">IF(E26&gt;1000,"High",IF(E26&gt;500,"Medium","Low"))</f>
        <v>Medium</v>
      </c>
    </row>
    <row r="27" customFormat="false" ht="15" hidden="false" customHeight="true" outlineLevel="0" collapsed="false">
      <c r="A27" s="55" t="s">
        <v>139</v>
      </c>
      <c r="B27" s="55" t="s">
        <v>18</v>
      </c>
      <c r="C27" s="55" t="n">
        <v>4</v>
      </c>
      <c r="D27" s="56" t="n">
        <v>299.99</v>
      </c>
      <c r="E27" s="56" t="n">
        <v>1199.96</v>
      </c>
      <c r="F27" s="55" t="s">
        <v>25</v>
      </c>
      <c r="G27" s="55" t="s">
        <v>45</v>
      </c>
      <c r="H27" s="55" t="s">
        <v>22</v>
      </c>
      <c r="I27" s="57" t="str">
        <f aca="false">IF(E27&gt;1000,"High",IF(E27&gt;500,"Medium","Low"))</f>
        <v>High</v>
      </c>
    </row>
    <row r="28" customFormat="false" ht="15" hidden="false" customHeight="true" outlineLevel="0" collapsed="false">
      <c r="A28" s="55" t="s">
        <v>141</v>
      </c>
      <c r="B28" s="55" t="s">
        <v>143</v>
      </c>
      <c r="C28" s="55" t="n">
        <v>5</v>
      </c>
      <c r="D28" s="56" t="n">
        <v>249.99</v>
      </c>
      <c r="E28" s="56" t="n">
        <v>1249.95</v>
      </c>
      <c r="F28" s="55" t="s">
        <v>25</v>
      </c>
      <c r="G28" s="55" t="s">
        <v>36</v>
      </c>
      <c r="H28" s="55" t="s">
        <v>19</v>
      </c>
      <c r="I28" s="57" t="str">
        <f aca="false">IF(E28&gt;1000,"High",IF(E28&gt;500,"Medium","Low"))</f>
        <v>High</v>
      </c>
    </row>
    <row r="30" customFormat="false" ht="15" hidden="false" customHeight="true" outlineLevel="0" collapsed="false">
      <c r="A30" s="58" t="s">
        <v>472</v>
      </c>
      <c r="B30" s="58"/>
      <c r="C30" s="58"/>
      <c r="D30" s="58"/>
      <c r="E30" s="58"/>
      <c r="F30" s="58"/>
      <c r="G30" s="58"/>
      <c r="H30" s="58"/>
      <c r="I30" s="58"/>
    </row>
    <row r="32" customFormat="false" ht="15" hidden="false" customHeight="true" outlineLevel="0" collapsed="false">
      <c r="A32" s="52" t="s">
        <v>473</v>
      </c>
      <c r="B32" s="47"/>
      <c r="C32" s="47"/>
      <c r="D32" s="47"/>
      <c r="E32" s="47"/>
      <c r="F32" s="47"/>
      <c r="G32" s="47"/>
      <c r="H32" s="47"/>
      <c r="I32" s="47"/>
    </row>
    <row r="33" customFormat="false" ht="15" hidden="false" customHeight="true" outlineLevel="0" collapsed="false">
      <c r="A33" s="59" t="s">
        <v>474</v>
      </c>
      <c r="B33" s="57" t="s">
        <v>475</v>
      </c>
      <c r="C33" s="57"/>
      <c r="D33" s="57"/>
      <c r="E33" s="57"/>
      <c r="F33" s="57"/>
      <c r="G33" s="57"/>
      <c r="H33" s="57"/>
      <c r="I33" s="57"/>
    </row>
    <row r="34" customFormat="false" ht="15" hidden="false" customHeight="true" outlineLevel="0" collapsed="false">
      <c r="A34" s="59" t="s">
        <v>476</v>
      </c>
      <c r="B34" s="57" t="s">
        <v>477</v>
      </c>
      <c r="C34" s="57"/>
      <c r="D34" s="57"/>
      <c r="E34" s="57"/>
      <c r="F34" s="57"/>
      <c r="G34" s="57"/>
      <c r="H34" s="57"/>
      <c r="I34" s="57"/>
    </row>
    <row r="35" customFormat="false" ht="15" hidden="false" customHeight="true" outlineLevel="0" collapsed="false">
      <c r="A35" s="59" t="s">
        <v>478</v>
      </c>
      <c r="B35" s="57" t="s">
        <v>479</v>
      </c>
      <c r="C35" s="57"/>
      <c r="D35" s="57"/>
      <c r="E35" s="57"/>
      <c r="F35" s="57"/>
      <c r="G35" s="57"/>
      <c r="H35" s="57"/>
      <c r="I35" s="57"/>
    </row>
    <row r="36" customFormat="false" ht="15" hidden="false" customHeight="true" outlineLevel="0" collapsed="false">
      <c r="A36" s="59" t="s">
        <v>480</v>
      </c>
      <c r="B36" s="57" t="s">
        <v>481</v>
      </c>
      <c r="C36" s="57"/>
      <c r="D36" s="57"/>
      <c r="E36" s="57"/>
      <c r="F36" s="57"/>
      <c r="G36" s="57"/>
      <c r="H36" s="57"/>
      <c r="I36" s="57"/>
    </row>
    <row r="37" customFormat="false" ht="15" hidden="false" customHeight="true" outlineLevel="0" collapsed="false">
      <c r="A37" s="59" t="s">
        <v>482</v>
      </c>
      <c r="B37" s="57" t="s">
        <v>483</v>
      </c>
      <c r="C37" s="57"/>
      <c r="D37" s="57"/>
      <c r="E37" s="57"/>
      <c r="F37" s="57"/>
      <c r="G37" s="57"/>
      <c r="H37" s="57"/>
      <c r="I37" s="57"/>
    </row>
  </sheetData>
  <mergeCells count="7">
    <mergeCell ref="A1:I1"/>
    <mergeCell ref="A30:I30"/>
    <mergeCell ref="B33:I33"/>
    <mergeCell ref="B34:I34"/>
    <mergeCell ref="B35:I35"/>
    <mergeCell ref="B36:I36"/>
    <mergeCell ref="B37:I37"/>
  </mergeCells>
  <conditionalFormatting sqref="E4:E28">
    <cfRule type="colorScale" priority="2">
      <colorScale>
        <cfvo type="min" val="0"/>
        <cfvo type="percentile" val="50"/>
        <cfvo type="max" val="0"/>
        <color rgb="FFFF0000"/>
        <color rgb="FFFFFF00"/>
        <color rgb="FF00B050"/>
      </colorScale>
    </cfRule>
    <cfRule type="cellIs" priority="3" operator="lessThan" aboveAverage="0" equalAverage="0" bottom="0" percent="0" rank="0" text="" dxfId="4">
      <formula>200</formula>
    </cfRule>
  </conditionalFormatting>
  <conditionalFormatting sqref="C4:C28">
    <cfRule type="dataBar" priority="4">
      <dataBar showValue="1" minLength="10" maxLength="90">
        <cfvo type="min" val="0"/>
        <cfvo type="max" val="0"/>
        <color rgb="FF2196F3"/>
      </dataBar>
      <extLst>
        <ext xmlns:x14="http://schemas.microsoft.com/office/spreadsheetml/2009/9/main" uri="{B025F937-C7B1-47D3-B67F-A62EFF666E3E}">
          <x14:id>{D08B2132-1E5A-4250-9AE2-46995FD870C2}</x14:id>
        </ext>
      </extLst>
    </cfRule>
  </conditionalFormatting>
  <conditionalFormatting sqref="A4:I28">
    <cfRule type="expression" priority="5" aboveAverage="0" equalAverage="0" bottom="0" percent="0" rank="0" text="" dxfId="5">
      <formula>$H4="Premium"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B2132-1E5A-4250-9AE2-46995FD870C2}">
            <x14:dataBar minLength="10" maxLength="90" axisPosition="none" gradient="true">
              <x14:cfvo type="min"/>
              <x14:cfvo type="max"/>
              <x14:negativeFillColor rgb="FF2196F3"/>
              <x14:axisColor rgb="FF000000"/>
            </x14:dataBar>
          </x14:cfRule>
          <xm:sqref>C4:C28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6"/>
  </cols>
  <sheetData>
    <row r="1" customFormat="false" ht="27.75" hidden="false" customHeight="true" outlineLevel="0" collapsed="false">
      <c r="A1" s="37" t="s">
        <v>484</v>
      </c>
      <c r="B1" s="37"/>
      <c r="C1" s="37"/>
      <c r="D1" s="37"/>
      <c r="E1" s="37"/>
      <c r="F1" s="37"/>
      <c r="G1" s="37"/>
      <c r="H1" s="37"/>
    </row>
    <row r="3" customFormat="false" ht="15" hidden="false" customHeight="true" outlineLevel="0" collapsed="false">
      <c r="A3" s="26" t="s">
        <v>485</v>
      </c>
      <c r="B3" s="26"/>
      <c r="C3" s="26"/>
      <c r="D3" s="26"/>
      <c r="E3" s="26"/>
      <c r="F3" s="26"/>
      <c r="G3" s="26"/>
      <c r="H3" s="26"/>
    </row>
    <row r="4" customFormat="false" ht="15" hidden="false" customHeight="true" outlineLevel="0" collapsed="false">
      <c r="A4" s="15" t="s">
        <v>486</v>
      </c>
      <c r="B4" s="15" t="s">
        <v>487</v>
      </c>
      <c r="C4" s="40" t="s">
        <v>488</v>
      </c>
      <c r="D4" s="15" t="s">
        <v>489</v>
      </c>
    </row>
    <row r="5" customFormat="false" ht="15" hidden="false" customHeight="true" outlineLevel="0" collapsed="false">
      <c r="A5" s="16" t="s">
        <v>490</v>
      </c>
      <c r="B5" s="21" t="n">
        <v>250</v>
      </c>
      <c r="C5" s="20" t="n">
        <f aca="false">B5*1.2</f>
        <v>300</v>
      </c>
      <c r="D5" s="60" t="n">
        <f aca="false">B5*0.8</f>
        <v>200</v>
      </c>
    </row>
    <row r="6" customFormat="false" ht="15" hidden="false" customHeight="true" outlineLevel="0" collapsed="false">
      <c r="A6" s="16" t="s">
        <v>491</v>
      </c>
      <c r="B6" s="22" t="n">
        <v>916.76988</v>
      </c>
      <c r="C6" s="61" t="n">
        <f aca="false">B6*1.2</f>
        <v>1100.123856</v>
      </c>
      <c r="D6" s="62" t="n">
        <f aca="false">B6*0.8</f>
        <v>733.415904</v>
      </c>
    </row>
    <row r="7" customFormat="false" ht="15" hidden="false" customHeight="true" outlineLevel="0" collapsed="false">
      <c r="A7" s="16" t="s">
        <v>492</v>
      </c>
      <c r="B7" s="44" t="n">
        <v>0.25</v>
      </c>
      <c r="C7" s="18" t="n">
        <f aca="false">B7*1.2</f>
        <v>0.3</v>
      </c>
      <c r="D7" s="63" t="n">
        <f aca="false">B7*0.8</f>
        <v>0.2</v>
      </c>
    </row>
    <row r="8" customFormat="false" ht="15" hidden="false" customHeight="true" outlineLevel="0" collapsed="false">
      <c r="A8" s="16" t="s">
        <v>445</v>
      </c>
      <c r="B8" s="22" t="n">
        <v>229192.47</v>
      </c>
      <c r="C8" s="61" t="n">
        <f aca="false">B8*1.2</f>
        <v>275030.964</v>
      </c>
      <c r="D8" s="62" t="n">
        <f aca="false">B8*0.8</f>
        <v>183353.976</v>
      </c>
    </row>
    <row r="9" customFormat="false" ht="15" hidden="false" customHeight="true" outlineLevel="0" collapsed="false">
      <c r="A9" s="16" t="s">
        <v>493</v>
      </c>
      <c r="B9" s="22" t="n">
        <f aca="false">B8/6</f>
        <v>38198.745</v>
      </c>
      <c r="C9" s="61" t="n">
        <f aca="false">C8/6</f>
        <v>45838.494</v>
      </c>
      <c r="D9" s="62" t="n">
        <f aca="false">D8/6</f>
        <v>30558.996</v>
      </c>
    </row>
    <row r="10" customFormat="false" ht="15" hidden="false" customHeight="true" outlineLevel="0" collapsed="false">
      <c r="A10" s="16" t="s">
        <v>494</v>
      </c>
      <c r="B10" s="44" t="n">
        <v>0.12</v>
      </c>
      <c r="C10" s="18" t="n">
        <f aca="false">B10*1.2</f>
        <v>0.144</v>
      </c>
      <c r="D10" s="63" t="n">
        <f aca="false">B10*0.8</f>
        <v>0.096</v>
      </c>
    </row>
    <row r="13" customFormat="false" ht="15" hidden="false" customHeight="true" outlineLevel="0" collapsed="false">
      <c r="A13" s="26" t="s">
        <v>495</v>
      </c>
      <c r="B13" s="26"/>
      <c r="C13" s="26"/>
      <c r="D13" s="26"/>
      <c r="E13" s="26"/>
      <c r="F13" s="26"/>
      <c r="G13" s="26"/>
      <c r="H13" s="26"/>
    </row>
    <row r="15" customFormat="false" ht="15" hidden="false" customHeight="true" outlineLevel="0" collapsed="false">
      <c r="A15" s="52" t="s">
        <v>496</v>
      </c>
      <c r="B15" s="51" t="n">
        <v>200000</v>
      </c>
    </row>
    <row r="16" customFormat="false" ht="15" hidden="false" customHeight="true" outlineLevel="0" collapsed="false">
      <c r="A16" s="52" t="s">
        <v>497</v>
      </c>
      <c r="B16" s="64" t="n">
        <f aca="false">B8</f>
        <v>229192.47</v>
      </c>
    </row>
    <row r="17" customFormat="false" ht="15" hidden="false" customHeight="true" outlineLevel="0" collapsed="false">
      <c r="A17" s="52" t="s">
        <v>498</v>
      </c>
      <c r="B17" s="61" t="n">
        <f aca="false">B15-B16</f>
        <v>-29192.47</v>
      </c>
    </row>
    <row r="18" customFormat="false" ht="15" hidden="false" customHeight="true" outlineLevel="0" collapsed="false">
      <c r="A18" s="52" t="s">
        <v>499</v>
      </c>
      <c r="B18" s="61" t="n">
        <f aca="false">IFERROR(B15/B5,0)</f>
        <v>800</v>
      </c>
    </row>
    <row r="19" customFormat="false" ht="15" hidden="false" customHeight="true" outlineLevel="0" collapsed="false">
      <c r="A19" s="52" t="s">
        <v>500</v>
      </c>
      <c r="B19" s="42" t="n">
        <f aca="false">IFERROR(CEILING((B15-B16)/B6,1),0)</f>
        <v>-31</v>
      </c>
    </row>
    <row r="21" customFormat="false" ht="15" hidden="false" customHeight="true" outlineLevel="0" collapsed="false">
      <c r="A21" s="14" t="s">
        <v>501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15" t="s">
        <v>446</v>
      </c>
      <c r="B22" s="15" t="s">
        <v>502</v>
      </c>
      <c r="C22" s="15" t="s">
        <v>503</v>
      </c>
    </row>
    <row r="23" customFormat="false" ht="15" hidden="false" customHeight="true" outlineLevel="0" collapsed="false">
      <c r="A23" s="65" t="n">
        <v>400</v>
      </c>
      <c r="B23" s="22" t="n">
        <f aca="false">A23*250</f>
        <v>100000</v>
      </c>
      <c r="C23" s="61" t="n">
        <f aca="false">B23-$B$15</f>
        <v>-100000</v>
      </c>
    </row>
    <row r="24" customFormat="false" ht="15" hidden="false" customHeight="true" outlineLevel="0" collapsed="false">
      <c r="A24" s="65" t="n">
        <v>500</v>
      </c>
      <c r="B24" s="22" t="n">
        <f aca="false">A24*250</f>
        <v>125000</v>
      </c>
      <c r="C24" s="61" t="n">
        <f aca="false">B24-$B$15</f>
        <v>-75000</v>
      </c>
    </row>
    <row r="25" customFormat="false" ht="15" hidden="false" customHeight="true" outlineLevel="0" collapsed="false">
      <c r="A25" s="65" t="n">
        <v>600</v>
      </c>
      <c r="B25" s="22" t="n">
        <f aca="false">A25*250</f>
        <v>150000</v>
      </c>
      <c r="C25" s="61" t="n">
        <f aca="false">B25-$B$15</f>
        <v>-50000</v>
      </c>
    </row>
    <row r="26" customFormat="false" ht="15" hidden="false" customHeight="true" outlineLevel="0" collapsed="false">
      <c r="A26" s="65" t="n">
        <v>700</v>
      </c>
      <c r="B26" s="22" t="n">
        <f aca="false">A26*250</f>
        <v>175000</v>
      </c>
      <c r="C26" s="61" t="n">
        <f aca="false">B26-$B$15</f>
        <v>-25000</v>
      </c>
    </row>
    <row r="27" customFormat="false" ht="15" hidden="false" customHeight="true" outlineLevel="0" collapsed="false">
      <c r="A27" s="65" t="n">
        <v>800</v>
      </c>
      <c r="B27" s="22" t="n">
        <f aca="false">A27*250</f>
        <v>200000</v>
      </c>
      <c r="C27" s="61" t="n">
        <f aca="false">B27-$B$15</f>
        <v>0</v>
      </c>
    </row>
    <row r="28" customFormat="false" ht="15" hidden="false" customHeight="true" outlineLevel="0" collapsed="false">
      <c r="A28" s="65" t="n">
        <v>900</v>
      </c>
      <c r="B28" s="22" t="n">
        <f aca="false">A28*250</f>
        <v>225000</v>
      </c>
      <c r="C28" s="61" t="n">
        <f aca="false">B28-$B$15</f>
        <v>25000</v>
      </c>
    </row>
    <row r="29" customFormat="false" ht="15" hidden="false" customHeight="true" outlineLevel="0" collapsed="false">
      <c r="A29" s="65" t="n">
        <v>1000</v>
      </c>
      <c r="B29" s="22" t="n">
        <f aca="false">A29*250</f>
        <v>250000</v>
      </c>
      <c r="C29" s="61" t="n">
        <f aca="false">B29-$B$15</f>
        <v>50000</v>
      </c>
    </row>
  </sheetData>
  <mergeCells count="4">
    <mergeCell ref="A1:H1"/>
    <mergeCell ref="A3:H3"/>
    <mergeCell ref="A13:H13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6"/>
    <col collapsed="false" customWidth="true" hidden="false" outlineLevel="0" max="6" min="6" style="1" width="22"/>
    <col collapsed="false" customWidth="true" hidden="false" outlineLevel="0" max="8" min="7" style="1" width="20"/>
  </cols>
  <sheetData>
    <row r="1" customFormat="false" ht="27.75" hidden="false" customHeight="true" outlineLevel="0" collapsed="false">
      <c r="A1" s="37" t="s">
        <v>504</v>
      </c>
      <c r="B1" s="37"/>
      <c r="C1" s="37"/>
      <c r="D1" s="37"/>
      <c r="E1" s="37"/>
      <c r="F1" s="37"/>
      <c r="G1" s="37"/>
      <c r="H1" s="37"/>
    </row>
    <row r="3" customFormat="false" ht="15" hidden="false" customHeight="true" outlineLevel="0" collapsed="false">
      <c r="A3" s="14" t="s">
        <v>505</v>
      </c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15" t="s">
        <v>506</v>
      </c>
      <c r="B4" s="15" t="s">
        <v>507</v>
      </c>
      <c r="C4" s="40" t="s">
        <v>508</v>
      </c>
      <c r="D4" s="40" t="s">
        <v>509</v>
      </c>
      <c r="E4" s="40" t="s">
        <v>510</v>
      </c>
      <c r="F4" s="40" t="s">
        <v>511</v>
      </c>
      <c r="H4" s="15" t="s">
        <v>512</v>
      </c>
      <c r="I4" s="15"/>
    </row>
    <row r="5" customFormat="false" ht="15" hidden="false" customHeight="true" outlineLevel="0" collapsed="false">
      <c r="A5" s="57" t="n">
        <v>3</v>
      </c>
      <c r="B5" s="66" t="n">
        <v>749.97</v>
      </c>
      <c r="C5" s="57" t="n">
        <f aca="false">A5^2</f>
        <v>9</v>
      </c>
      <c r="D5" s="66" t="n">
        <f aca="false">A5*B5</f>
        <v>2249.91</v>
      </c>
      <c r="E5" s="67" t="n">
        <f aca="false">$I$9+$I$8*A5</f>
        <v>0.622563438508527</v>
      </c>
      <c r="F5" s="66" t="n">
        <f aca="false">B5-E5</f>
        <v>749.347436561492</v>
      </c>
      <c r="H5" s="52" t="s">
        <v>513</v>
      </c>
      <c r="I5" s="20" t="n">
        <f aca="false">30</f>
        <v>30</v>
      </c>
    </row>
    <row r="6" customFormat="false" ht="15" hidden="false" customHeight="true" outlineLevel="0" collapsed="false">
      <c r="A6" s="57" t="n">
        <v>3</v>
      </c>
      <c r="B6" s="66" t="n">
        <v>749.97</v>
      </c>
      <c r="C6" s="57" t="n">
        <f aca="false">A6^2</f>
        <v>9</v>
      </c>
      <c r="D6" s="66" t="n">
        <f aca="false">A6*B6</f>
        <v>2249.91</v>
      </c>
      <c r="E6" s="67" t="n">
        <f aca="false">$I$9+$I$8*A6</f>
        <v>0.622563438508527</v>
      </c>
      <c r="F6" s="66" t="n">
        <f aca="false">B6-E6</f>
        <v>749.347436561492</v>
      </c>
      <c r="H6" s="52" t="s">
        <v>514</v>
      </c>
      <c r="I6" s="61" t="n">
        <f aca="false">SLOPE(B5:B34,A5:A34)</f>
        <v>272.335469940728</v>
      </c>
    </row>
    <row r="7" customFormat="false" ht="15" hidden="false" customHeight="true" outlineLevel="0" collapsed="false">
      <c r="A7" s="57" t="n">
        <v>3</v>
      </c>
      <c r="B7" s="66" t="n">
        <v>179.97</v>
      </c>
      <c r="C7" s="57" t="n">
        <f aca="false">A7^2</f>
        <v>9</v>
      </c>
      <c r="D7" s="66" t="n">
        <f aca="false">A7*B7</f>
        <v>539.91</v>
      </c>
      <c r="E7" s="67" t="n">
        <f aca="false">$I$9+$I$8*A7</f>
        <v>0.622563438508527</v>
      </c>
      <c r="F7" s="66" t="n">
        <f aca="false">B7-E7</f>
        <v>179.347436561491</v>
      </c>
      <c r="H7" s="52" t="s">
        <v>515</v>
      </c>
      <c r="I7" s="61" t="n">
        <f aca="false">INTERCEPT(B5:B34,A5:A34)</f>
        <v>55.6138865368332</v>
      </c>
    </row>
    <row r="8" customFormat="false" ht="15" hidden="false" customHeight="true" outlineLevel="0" collapsed="false">
      <c r="A8" s="57" t="n">
        <v>3</v>
      </c>
      <c r="B8" s="66" t="n">
        <v>179.97</v>
      </c>
      <c r="C8" s="57" t="n">
        <f aca="false">A8^2</f>
        <v>9</v>
      </c>
      <c r="D8" s="66" t="n">
        <f aca="false">A8*B8</f>
        <v>539.91</v>
      </c>
      <c r="E8" s="67" t="n">
        <f aca="false">$I$9+$I$8*A8</f>
        <v>0.622563438508527</v>
      </c>
      <c r="F8" s="66" t="n">
        <f aca="false">B8-E8</f>
        <v>179.347436561491</v>
      </c>
      <c r="H8" s="52" t="s">
        <v>516</v>
      </c>
      <c r="I8" s="68" t="n">
        <f aca="false">RSQ(B5:B34,A5:A34)</f>
        <v>0.10138463363565</v>
      </c>
    </row>
    <row r="9" customFormat="false" ht="15" hidden="false" customHeight="true" outlineLevel="0" collapsed="false">
      <c r="A9" s="57" t="n">
        <v>5</v>
      </c>
      <c r="B9" s="66" t="n">
        <v>749.95</v>
      </c>
      <c r="C9" s="57" t="n">
        <f aca="false">A9^2</f>
        <v>25</v>
      </c>
      <c r="D9" s="66" t="n">
        <f aca="false">A9*B9</f>
        <v>3749.75</v>
      </c>
      <c r="E9" s="67" t="n">
        <f aca="false">$I$9+$I$8*A9</f>
        <v>0.825332705779827</v>
      </c>
      <c r="F9" s="66" t="n">
        <f aca="false">B9-E9</f>
        <v>749.12466729422</v>
      </c>
      <c r="H9" s="52" t="s">
        <v>517</v>
      </c>
      <c r="I9" s="68" t="n">
        <f aca="false">CORREL(B5:B34,A5:A34)</f>
        <v>0.318409537601577</v>
      </c>
    </row>
    <row r="10" customFormat="false" ht="15" hidden="false" customHeight="true" outlineLevel="0" collapsed="false">
      <c r="A10" s="57" t="n">
        <v>2</v>
      </c>
      <c r="B10" s="66" t="n">
        <v>119.98</v>
      </c>
      <c r="C10" s="57" t="n">
        <f aca="false">A10^2</f>
        <v>4</v>
      </c>
      <c r="D10" s="66" t="n">
        <f aca="false">A10*B10</f>
        <v>239.96</v>
      </c>
      <c r="E10" s="67" t="n">
        <f aca="false">$I$9+$I$8*A10</f>
        <v>0.521178804872877</v>
      </c>
      <c r="F10" s="66" t="n">
        <f aca="false">B10-E10</f>
        <v>119.458821195127</v>
      </c>
      <c r="H10" s="52" t="s">
        <v>518</v>
      </c>
      <c r="I10" s="61" t="n">
        <f aca="false">STEYX(B5:B34,A5:A34)</f>
        <v>961.369560679094</v>
      </c>
    </row>
    <row r="11" customFormat="false" ht="15" hidden="false" customHeight="true" outlineLevel="0" collapsed="false">
      <c r="A11" s="57" t="n">
        <v>5</v>
      </c>
      <c r="B11" s="66" t="n">
        <v>749.95</v>
      </c>
      <c r="C11" s="57" t="n">
        <f aca="false">A11^2</f>
        <v>25</v>
      </c>
      <c r="D11" s="66" t="n">
        <f aca="false">A11*B11</f>
        <v>3749.75</v>
      </c>
      <c r="E11" s="67" t="n">
        <f aca="false">$I$9+$I$8*A11</f>
        <v>0.825332705779827</v>
      </c>
      <c r="F11" s="66" t="n">
        <f aca="false">B11-E11</f>
        <v>749.12466729422</v>
      </c>
      <c r="H11" s="52" t="s">
        <v>519</v>
      </c>
      <c r="I11" s="20" t="str">
        <f aca="false">"Y = "&amp;ROUND(I8,2)&amp;"x + "&amp;ROUND(I9,2)</f>
        <v>Y = 0.1x + 0.32</v>
      </c>
    </row>
    <row r="12" customFormat="false" ht="15" hidden="false" customHeight="true" outlineLevel="0" collapsed="false">
      <c r="A12" s="57" t="n">
        <v>3</v>
      </c>
      <c r="B12" s="66" t="n">
        <v>179.97</v>
      </c>
      <c r="C12" s="57" t="n">
        <f aca="false">A12^2</f>
        <v>9</v>
      </c>
      <c r="D12" s="66" t="n">
        <f aca="false">A12*B12</f>
        <v>539.91</v>
      </c>
      <c r="E12" s="67" t="n">
        <f aca="false">$I$9+$I$8*A12</f>
        <v>0.622563438508527</v>
      </c>
      <c r="F12" s="66" t="n">
        <f aca="false">B12-E12</f>
        <v>179.347436561491</v>
      </c>
    </row>
    <row r="13" customFormat="false" ht="15" hidden="false" customHeight="true" outlineLevel="0" collapsed="false">
      <c r="A13" s="57" t="n">
        <v>3</v>
      </c>
      <c r="B13" s="66" t="n">
        <v>2699.97</v>
      </c>
      <c r="C13" s="57" t="n">
        <f aca="false">A13^2</f>
        <v>9</v>
      </c>
      <c r="D13" s="66" t="n">
        <f aca="false">A13*B13</f>
        <v>8099.91</v>
      </c>
      <c r="E13" s="67" t="n">
        <f aca="false">$I$9+$I$8*A13</f>
        <v>0.622563438508527</v>
      </c>
      <c r="F13" s="66" t="n">
        <f aca="false">B13-E13</f>
        <v>2699.34743656149</v>
      </c>
      <c r="H13" s="14" t="s">
        <v>520</v>
      </c>
      <c r="I13" s="14"/>
    </row>
    <row r="14" customFormat="false" ht="15" hidden="false" customHeight="true" outlineLevel="0" collapsed="false">
      <c r="A14" s="57" t="n">
        <v>3</v>
      </c>
      <c r="B14" s="66" t="n">
        <v>179.97</v>
      </c>
      <c r="C14" s="57" t="n">
        <f aca="false">A14^2</f>
        <v>9</v>
      </c>
      <c r="D14" s="66" t="n">
        <f aca="false">A14*B14</f>
        <v>539.91</v>
      </c>
      <c r="E14" s="67" t="n">
        <f aca="false">$I$9+$I$8*A14</f>
        <v>0.622563438508527</v>
      </c>
      <c r="F14" s="66" t="n">
        <f aca="false">B14-E14</f>
        <v>179.347436561491</v>
      </c>
      <c r="H14" s="15" t="s">
        <v>521</v>
      </c>
      <c r="I14" s="15" t="s">
        <v>522</v>
      </c>
    </row>
    <row r="15" customFormat="false" ht="15" hidden="false" customHeight="true" outlineLevel="0" collapsed="false">
      <c r="A15" s="57" t="n">
        <v>1</v>
      </c>
      <c r="B15" s="66" t="n">
        <v>149.99</v>
      </c>
      <c r="C15" s="57" t="n">
        <f aca="false">A15^2</f>
        <v>1</v>
      </c>
      <c r="D15" s="66" t="n">
        <f aca="false">A15*B15</f>
        <v>149.99</v>
      </c>
      <c r="E15" s="67" t="n">
        <f aca="false">$I$9+$I$8*A15</f>
        <v>0.419794171237227</v>
      </c>
      <c r="F15" s="66" t="n">
        <f aca="false">B15-E15</f>
        <v>149.570205828763</v>
      </c>
      <c r="H15" s="16" t="n">
        <v>1</v>
      </c>
      <c r="I15" s="22" t="n">
        <f aca="false">$I$9+$I$8*H15</f>
        <v>0.419794171237227</v>
      </c>
    </row>
    <row r="16" customFormat="false" ht="15" hidden="false" customHeight="true" outlineLevel="0" collapsed="false">
      <c r="A16" s="57" t="n">
        <v>5</v>
      </c>
      <c r="B16" s="66" t="n">
        <v>749.95</v>
      </c>
      <c r="C16" s="57" t="n">
        <f aca="false">A16^2</f>
        <v>25</v>
      </c>
      <c r="D16" s="66" t="n">
        <f aca="false">A16*B16</f>
        <v>3749.75</v>
      </c>
      <c r="E16" s="67" t="n">
        <f aca="false">$I$9+$I$8*A16</f>
        <v>0.825332705779827</v>
      </c>
      <c r="F16" s="66" t="n">
        <f aca="false">B16-E16</f>
        <v>749.12466729422</v>
      </c>
      <c r="H16" s="16" t="n">
        <v>2</v>
      </c>
      <c r="I16" s="22" t="n">
        <f aca="false">$I$9+$I$8*H16</f>
        <v>0.521178804872877</v>
      </c>
    </row>
    <row r="17" customFormat="false" ht="15" hidden="false" customHeight="true" outlineLevel="0" collapsed="false">
      <c r="A17" s="57" t="n">
        <v>3</v>
      </c>
      <c r="B17" s="66" t="n">
        <v>449.97</v>
      </c>
      <c r="C17" s="57" t="n">
        <f aca="false">A17^2</f>
        <v>9</v>
      </c>
      <c r="D17" s="66" t="n">
        <f aca="false">A17*B17</f>
        <v>1349.91</v>
      </c>
      <c r="E17" s="67" t="n">
        <f aca="false">$I$9+$I$8*A17</f>
        <v>0.622563438508527</v>
      </c>
      <c r="F17" s="66" t="n">
        <f aca="false">B17-E17</f>
        <v>449.347436561492</v>
      </c>
      <c r="H17" s="16" t="n">
        <v>3</v>
      </c>
      <c r="I17" s="22" t="n">
        <f aca="false">$I$9+$I$8*H17</f>
        <v>0.622563438508527</v>
      </c>
    </row>
    <row r="18" customFormat="false" ht="15" hidden="false" customHeight="true" outlineLevel="0" collapsed="false">
      <c r="A18" s="57" t="n">
        <v>3</v>
      </c>
      <c r="B18" s="66" t="n">
        <v>179.97</v>
      </c>
      <c r="C18" s="57" t="n">
        <f aca="false">A18^2</f>
        <v>9</v>
      </c>
      <c r="D18" s="66" t="n">
        <f aca="false">A18*B18</f>
        <v>539.91</v>
      </c>
      <c r="E18" s="67" t="n">
        <f aca="false">$I$9+$I$8*A18</f>
        <v>0.622563438508527</v>
      </c>
      <c r="F18" s="66" t="n">
        <f aca="false">B18-E18</f>
        <v>179.347436561491</v>
      </c>
      <c r="H18" s="16" t="n">
        <v>4</v>
      </c>
      <c r="I18" s="22" t="n">
        <f aca="false">$I$9+$I$8*H18</f>
        <v>0.723948072144177</v>
      </c>
    </row>
    <row r="19" customFormat="false" ht="15" hidden="false" customHeight="true" outlineLevel="0" collapsed="false">
      <c r="A19" s="57" t="n">
        <v>3</v>
      </c>
      <c r="B19" s="66" t="n">
        <v>2099.97</v>
      </c>
      <c r="C19" s="57" t="n">
        <f aca="false">A19^2</f>
        <v>9</v>
      </c>
      <c r="D19" s="66" t="n">
        <f aca="false">A19*B19</f>
        <v>6299.91</v>
      </c>
      <c r="E19" s="67" t="n">
        <f aca="false">$I$9+$I$8*A19</f>
        <v>0.622563438508527</v>
      </c>
      <c r="F19" s="66" t="n">
        <f aca="false">B19-E19</f>
        <v>2099.34743656149</v>
      </c>
      <c r="H19" s="16" t="n">
        <v>5</v>
      </c>
      <c r="I19" s="22" t="n">
        <f aca="false">$I$9+$I$8*H19</f>
        <v>0.825332705779827</v>
      </c>
    </row>
    <row r="20" customFormat="false" ht="15" hidden="false" customHeight="true" outlineLevel="0" collapsed="false">
      <c r="A20" s="57" t="n">
        <v>1</v>
      </c>
      <c r="B20" s="66" t="n">
        <v>899.99</v>
      </c>
      <c r="C20" s="57" t="n">
        <f aca="false">A20^2</f>
        <v>1</v>
      </c>
      <c r="D20" s="66" t="n">
        <f aca="false">A20*B20</f>
        <v>899.99</v>
      </c>
      <c r="E20" s="67" t="n">
        <f aca="false">$I$9+$I$8*A20</f>
        <v>0.419794171237227</v>
      </c>
      <c r="F20" s="66" t="n">
        <f aca="false">B20-E20</f>
        <v>899.570205828763</v>
      </c>
      <c r="H20" s="16" t="n">
        <v>6</v>
      </c>
      <c r="I20" s="22" t="n">
        <f aca="false">$I$9+$I$8*H20</f>
        <v>0.926717339415476</v>
      </c>
    </row>
    <row r="21" customFormat="false" ht="15" hidden="false" customHeight="true" outlineLevel="0" collapsed="false">
      <c r="A21" s="57" t="n">
        <v>4</v>
      </c>
      <c r="B21" s="66" t="n">
        <v>599.96</v>
      </c>
      <c r="C21" s="57" t="n">
        <f aca="false">A21^2</f>
        <v>16</v>
      </c>
      <c r="D21" s="66" t="n">
        <f aca="false">A21*B21</f>
        <v>2399.84</v>
      </c>
      <c r="E21" s="67" t="n">
        <f aca="false">$I$9+$I$8*A21</f>
        <v>0.723948072144177</v>
      </c>
      <c r="F21" s="66" t="n">
        <f aca="false">B21-E21</f>
        <v>599.236051927856</v>
      </c>
      <c r="H21" s="16" t="n">
        <v>7</v>
      </c>
      <c r="I21" s="22" t="n">
        <f aca="false">$I$9+$I$8*H21</f>
        <v>1.02810197305113</v>
      </c>
    </row>
    <row r="22" customFormat="false" ht="15" hidden="false" customHeight="true" outlineLevel="0" collapsed="false">
      <c r="A22" s="57" t="n">
        <v>2</v>
      </c>
      <c r="B22" s="66" t="n">
        <v>1399.98</v>
      </c>
      <c r="C22" s="57" t="n">
        <f aca="false">A22^2</f>
        <v>4</v>
      </c>
      <c r="D22" s="66" t="n">
        <f aca="false">A22*B22</f>
        <v>2799.96</v>
      </c>
      <c r="E22" s="67" t="n">
        <f aca="false">$I$9+$I$8*A22</f>
        <v>0.521178804872877</v>
      </c>
      <c r="F22" s="66" t="n">
        <f aca="false">B22-E22</f>
        <v>1399.45882119513</v>
      </c>
      <c r="H22" s="16" t="n">
        <v>8</v>
      </c>
      <c r="I22" s="22" t="n">
        <f aca="false">$I$9+$I$8*H22</f>
        <v>1.12948660668678</v>
      </c>
    </row>
    <row r="23" customFormat="false" ht="15" hidden="false" customHeight="true" outlineLevel="0" collapsed="false">
      <c r="A23" s="57" t="n">
        <v>4</v>
      </c>
      <c r="B23" s="66" t="n">
        <v>3599.96</v>
      </c>
      <c r="C23" s="57" t="n">
        <f aca="false">A23^2</f>
        <v>16</v>
      </c>
      <c r="D23" s="66" t="n">
        <f aca="false">A23*B23</f>
        <v>14399.84</v>
      </c>
      <c r="E23" s="67" t="n">
        <f aca="false">$I$9+$I$8*A23</f>
        <v>0.723948072144177</v>
      </c>
      <c r="F23" s="66" t="n">
        <f aca="false">B23-E23</f>
        <v>3599.23605192786</v>
      </c>
    </row>
    <row r="24" customFormat="false" ht="15" hidden="false" customHeight="true" outlineLevel="0" collapsed="false">
      <c r="A24" s="57" t="n">
        <v>3</v>
      </c>
      <c r="B24" s="66" t="n">
        <v>749.97</v>
      </c>
      <c r="C24" s="57" t="n">
        <f aca="false">A24^2</f>
        <v>9</v>
      </c>
      <c r="D24" s="66" t="n">
        <f aca="false">A24*B24</f>
        <v>2249.91</v>
      </c>
      <c r="E24" s="67" t="n">
        <f aca="false">$I$9+$I$8*A24</f>
        <v>0.622563438508527</v>
      </c>
      <c r="F24" s="66" t="n">
        <f aca="false">B24-E24</f>
        <v>749.347436561492</v>
      </c>
    </row>
    <row r="25" customFormat="false" ht="15" hidden="false" customHeight="true" outlineLevel="0" collapsed="false">
      <c r="A25" s="57" t="n">
        <v>5</v>
      </c>
      <c r="B25" s="66" t="n">
        <v>3499.95</v>
      </c>
      <c r="C25" s="57" t="n">
        <f aca="false">A25^2</f>
        <v>25</v>
      </c>
      <c r="D25" s="66" t="n">
        <f aca="false">A25*B25</f>
        <v>17499.75</v>
      </c>
      <c r="E25" s="67" t="n">
        <f aca="false">$I$9+$I$8*A25</f>
        <v>0.825332705779827</v>
      </c>
      <c r="F25" s="66" t="n">
        <f aca="false">B25-E25</f>
        <v>3499.12466729422</v>
      </c>
    </row>
    <row r="26" customFormat="false" ht="15" hidden="false" customHeight="true" outlineLevel="0" collapsed="false">
      <c r="A26" s="57" t="n">
        <v>4</v>
      </c>
      <c r="B26" s="66" t="n">
        <v>2799.96</v>
      </c>
      <c r="C26" s="57" t="n">
        <f aca="false">A26^2</f>
        <v>16</v>
      </c>
      <c r="D26" s="66" t="n">
        <f aca="false">A26*B26</f>
        <v>11199.84</v>
      </c>
      <c r="E26" s="67" t="n">
        <f aca="false">$I$9+$I$8*A26</f>
        <v>0.723948072144177</v>
      </c>
      <c r="F26" s="66" t="n">
        <f aca="false">B26-E26</f>
        <v>2799.23605192786</v>
      </c>
    </row>
    <row r="27" customFormat="false" ht="15" hidden="false" customHeight="true" outlineLevel="0" collapsed="false">
      <c r="A27" s="57" t="n">
        <v>4</v>
      </c>
      <c r="B27" s="66" t="n">
        <v>999.96</v>
      </c>
      <c r="C27" s="57" t="n">
        <f aca="false">A27^2</f>
        <v>16</v>
      </c>
      <c r="D27" s="66" t="n">
        <f aca="false">A27*B27</f>
        <v>3999.84</v>
      </c>
      <c r="E27" s="67" t="n">
        <f aca="false">$I$9+$I$8*A27</f>
        <v>0.723948072144177</v>
      </c>
      <c r="F27" s="66" t="n">
        <f aca="false">B27-E27</f>
        <v>999.236051927856</v>
      </c>
    </row>
    <row r="28" customFormat="false" ht="15" hidden="false" customHeight="true" outlineLevel="0" collapsed="false">
      <c r="A28" s="57" t="n">
        <v>4</v>
      </c>
      <c r="B28" s="66" t="n">
        <v>1199.96</v>
      </c>
      <c r="C28" s="57" t="n">
        <f aca="false">A28^2</f>
        <v>16</v>
      </c>
      <c r="D28" s="66" t="n">
        <f aca="false">A28*B28</f>
        <v>4799.84</v>
      </c>
      <c r="E28" s="67" t="n">
        <f aca="false">$I$9+$I$8*A28</f>
        <v>0.723948072144177</v>
      </c>
      <c r="F28" s="66" t="n">
        <f aca="false">B28-E28</f>
        <v>1199.23605192786</v>
      </c>
    </row>
    <row r="29" customFormat="false" ht="15" hidden="false" customHeight="true" outlineLevel="0" collapsed="false">
      <c r="A29" s="57" t="n">
        <v>5</v>
      </c>
      <c r="B29" s="66" t="n">
        <v>1249.95</v>
      </c>
      <c r="C29" s="57" t="n">
        <f aca="false">A29^2</f>
        <v>25</v>
      </c>
      <c r="D29" s="66" t="n">
        <f aca="false">A29*B29</f>
        <v>6249.75</v>
      </c>
      <c r="E29" s="67" t="n">
        <f aca="false">$I$9+$I$8*A29</f>
        <v>0.825332705779827</v>
      </c>
      <c r="F29" s="66" t="n">
        <f aca="false">B29-E29</f>
        <v>1249.12466729422</v>
      </c>
    </row>
    <row r="30" customFormat="false" ht="15" hidden="false" customHeight="true" outlineLevel="0" collapsed="false">
      <c r="A30" s="57" t="n">
        <v>5</v>
      </c>
      <c r="B30" s="66" t="n">
        <v>1499.95</v>
      </c>
      <c r="C30" s="57" t="n">
        <f aca="false">A30^2</f>
        <v>25</v>
      </c>
      <c r="D30" s="66" t="n">
        <f aca="false">A30*B30</f>
        <v>7499.75</v>
      </c>
      <c r="E30" s="67" t="n">
        <f aca="false">$I$9+$I$8*A30</f>
        <v>0.825332705779827</v>
      </c>
      <c r="F30" s="66" t="n">
        <f aca="false">B30-E30</f>
        <v>1499.12466729422</v>
      </c>
    </row>
    <row r="31" customFormat="false" ht="15" hidden="false" customHeight="true" outlineLevel="0" collapsed="false">
      <c r="A31" s="57" t="n">
        <v>3</v>
      </c>
      <c r="B31" s="66" t="n">
        <v>239.97</v>
      </c>
      <c r="C31" s="57" t="n">
        <f aca="false">A31^2</f>
        <v>9</v>
      </c>
      <c r="D31" s="66" t="n">
        <f aca="false">A31*B31</f>
        <v>719.91</v>
      </c>
      <c r="E31" s="67" t="n">
        <f aca="false">$I$9+$I$8*A31</f>
        <v>0.622563438508527</v>
      </c>
      <c r="F31" s="66" t="n">
        <f aca="false">B31-E31</f>
        <v>239.347436561491</v>
      </c>
    </row>
    <row r="32" customFormat="false" ht="15" hidden="false" customHeight="true" outlineLevel="0" collapsed="false">
      <c r="A32" s="57" t="n">
        <v>5</v>
      </c>
      <c r="B32" s="66" t="n">
        <v>449.95</v>
      </c>
      <c r="C32" s="57" t="n">
        <f aca="false">A32^2</f>
        <v>25</v>
      </c>
      <c r="D32" s="66" t="n">
        <f aca="false">A32*B32</f>
        <v>2249.75</v>
      </c>
      <c r="E32" s="67" t="n">
        <f aca="false">$I$9+$I$8*A32</f>
        <v>0.825332705779827</v>
      </c>
      <c r="F32" s="66" t="n">
        <f aca="false">B32-E32</f>
        <v>449.12466729422</v>
      </c>
    </row>
    <row r="33" customFormat="false" ht="15" hidden="false" customHeight="true" outlineLevel="0" collapsed="false">
      <c r="A33" s="57" t="n">
        <v>2</v>
      </c>
      <c r="B33" s="66" t="n">
        <v>119.98</v>
      </c>
      <c r="C33" s="57" t="n">
        <f aca="false">A33^2</f>
        <v>4</v>
      </c>
      <c r="D33" s="66" t="n">
        <f aca="false">A33*B33</f>
        <v>239.96</v>
      </c>
      <c r="E33" s="67" t="n">
        <f aca="false">$I$9+$I$8*A33</f>
        <v>0.521178804872877</v>
      </c>
      <c r="F33" s="66" t="n">
        <f aca="false">B33-E33</f>
        <v>119.458821195127</v>
      </c>
    </row>
    <row r="34" customFormat="false" ht="15" hidden="false" customHeight="true" outlineLevel="0" collapsed="false">
      <c r="A34" s="57" t="n">
        <v>4</v>
      </c>
      <c r="B34" s="66" t="n">
        <v>239.96</v>
      </c>
      <c r="C34" s="57" t="n">
        <f aca="false">A34^2</f>
        <v>16</v>
      </c>
      <c r="D34" s="66" t="n">
        <f aca="false">A34*B34</f>
        <v>959.84</v>
      </c>
      <c r="E34" s="67" t="n">
        <f aca="false">$I$9+$I$8*A34</f>
        <v>0.723948072144177</v>
      </c>
      <c r="F34" s="66" t="n">
        <f aca="false">B34-E34</f>
        <v>239.236051927856</v>
      </c>
    </row>
  </sheetData>
  <mergeCells count="4">
    <mergeCell ref="A1:H1"/>
    <mergeCell ref="A3:H3"/>
    <mergeCell ref="H4:I4"/>
    <mergeCell ref="H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6"/>
    <col collapsed="false" customWidth="true" hidden="false" outlineLevel="0" max="6" min="6" style="1" width="4"/>
    <col collapsed="false" customWidth="true" hidden="false" outlineLevel="0" max="7" min="7" style="1" width="18"/>
    <col collapsed="false" customWidth="true" hidden="false" outlineLevel="0" max="9" min="8" style="1" width="16"/>
    <col collapsed="false" customWidth="true" hidden="false" outlineLevel="0" max="10" min="10" style="1" width="4"/>
    <col collapsed="false" customWidth="true" hidden="false" outlineLevel="0" max="11" min="11" style="1" width="18"/>
    <col collapsed="false" customWidth="true" hidden="false" outlineLevel="0" max="13" min="12" style="1" width="16"/>
  </cols>
  <sheetData>
    <row r="1" customFormat="false" ht="27.75" hidden="false" customHeight="true" outlineLevel="0" collapsed="false">
      <c r="A1" s="37" t="s">
        <v>523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customFormat="false" ht="15" hidden="false" customHeight="true" outlineLevel="0" collapsed="false">
      <c r="A3" s="14" t="s">
        <v>524</v>
      </c>
      <c r="B3" s="14"/>
      <c r="C3" s="14"/>
      <c r="D3" s="14"/>
      <c r="E3" s="14"/>
      <c r="G3" s="14" t="s">
        <v>525</v>
      </c>
      <c r="H3" s="14"/>
      <c r="I3" s="14"/>
      <c r="K3" s="14" t="s">
        <v>526</v>
      </c>
      <c r="L3" s="14"/>
      <c r="M3" s="14"/>
    </row>
    <row r="4" customFormat="false" ht="15" hidden="false" customHeight="true" outlineLevel="0" collapsed="false">
      <c r="A4" s="15" t="s">
        <v>9</v>
      </c>
      <c r="B4" s="15" t="s">
        <v>36</v>
      </c>
      <c r="C4" s="15" t="s">
        <v>42</v>
      </c>
      <c r="D4" s="15" t="s">
        <v>45</v>
      </c>
      <c r="E4" s="40" t="s">
        <v>527</v>
      </c>
      <c r="G4" s="15" t="s">
        <v>66</v>
      </c>
      <c r="H4" s="15" t="s">
        <v>444</v>
      </c>
      <c r="I4" s="15" t="s">
        <v>10</v>
      </c>
      <c r="K4" s="15" t="s">
        <v>15</v>
      </c>
      <c r="L4" s="15" t="s">
        <v>444</v>
      </c>
      <c r="M4" s="15" t="s">
        <v>10</v>
      </c>
    </row>
    <row r="5" customFormat="false" ht="15" hidden="false" customHeight="true" outlineLevel="0" collapsed="false">
      <c r="A5" s="52" t="s">
        <v>17</v>
      </c>
      <c r="B5" s="17" t="n">
        <f aca="false">SUMIFS(Raw_Data!N3:N252,Raw_Data!K3:K252,A5,Raw_Data!G3:G252,B4)</f>
        <v>39239.04</v>
      </c>
      <c r="C5" s="17" t="n">
        <f aca="false">SUMIFS(Raw_Data!N3:N252,Raw_Data!K3:K252,A5,Raw_Data!G3:G252,C4)</f>
        <v>1119.84</v>
      </c>
      <c r="D5" s="17" t="n">
        <f aca="false">SUMIFS(Raw_Data!N3:N252,Raw_Data!K3:K252,A5,Raw_Data!G3:G252,D4)</f>
        <v>10449.43</v>
      </c>
      <c r="E5" s="69" t="n">
        <f aca="false">SUM(B5:D5)</f>
        <v>50808.31</v>
      </c>
      <c r="G5" s="16" t="s">
        <v>73</v>
      </c>
      <c r="H5" s="21" t="n">
        <f aca="false">COUNTIFS(Raw_Data!J3:J252,G5)</f>
        <v>76</v>
      </c>
      <c r="I5" s="17" t="n">
        <f aca="false">SUMIFS(Raw_Data!N3:N252,Raw_Data!J3:J252,G5)</f>
        <v>57427.79</v>
      </c>
      <c r="K5" s="16" t="s">
        <v>74</v>
      </c>
      <c r="L5" s="21" t="n">
        <f aca="false">COUNTIFS(Raw_Data!L3:L252,K5)</f>
        <v>74</v>
      </c>
      <c r="M5" s="17" t="n">
        <f aca="false">SUMIFS(Raw_Data!N3:N252,Raw_Data!L3:L252,K5)</f>
        <v>62177.81</v>
      </c>
    </row>
    <row r="6" customFormat="false" ht="15" hidden="false" customHeight="true" outlineLevel="0" collapsed="false">
      <c r="A6" s="52" t="s">
        <v>20</v>
      </c>
      <c r="B6" s="17" t="n">
        <f aca="false">SUMIFS(Raw_Data!N3:N252,Raw_Data!K3:K252,A6,Raw_Data!G3:G252,B4)</f>
        <v>25549.32</v>
      </c>
      <c r="C6" s="17" t="n">
        <f aca="false">SUMIFS(Raw_Data!N3:N252,Raw_Data!K3:K252,A6,Raw_Data!G3:G252,C4)</f>
        <v>1099.83</v>
      </c>
      <c r="D6" s="17" t="n">
        <f aca="false">SUMIFS(Raw_Data!N3:N252,Raw_Data!K3:K252,A6,Raw_Data!G3:G252,D4)</f>
        <v>9749.6</v>
      </c>
      <c r="E6" s="69" t="n">
        <f aca="false">SUM(B6:D6)</f>
        <v>36398.75</v>
      </c>
      <c r="G6" s="16" t="s">
        <v>77</v>
      </c>
      <c r="H6" s="21" t="n">
        <f aca="false">COUNTIFS(Raw_Data!J3:J252,G6)</f>
        <v>68</v>
      </c>
      <c r="I6" s="17" t="n">
        <f aca="false">SUMIFS(Raw_Data!N3:N252,Raw_Data!J3:J252,G6)</f>
        <v>61447.96</v>
      </c>
      <c r="K6" s="16" t="s">
        <v>19</v>
      </c>
      <c r="L6" s="21" t="n">
        <f aca="false">COUNTIFS(Raw_Data!L3:L252,K6)</f>
        <v>81</v>
      </c>
      <c r="M6" s="17" t="n">
        <f aca="false">SUMIFS(Raw_Data!N3:N252,Raw_Data!L3:L252,K6)</f>
        <v>82357.54</v>
      </c>
    </row>
    <row r="7" customFormat="false" ht="15" hidden="false" customHeight="true" outlineLevel="0" collapsed="false">
      <c r="A7" s="52" t="s">
        <v>23</v>
      </c>
      <c r="B7" s="17" t="n">
        <f aca="false">SUMIFS(Raw_Data!N3:N252,Raw_Data!K3:K252,A7,Raw_Data!G3:G252,B4)</f>
        <v>50649.01</v>
      </c>
      <c r="C7" s="17" t="n">
        <f aca="false">SUMIFS(Raw_Data!N3:N252,Raw_Data!K3:K252,A7,Raw_Data!G3:G252,C4)</f>
        <v>2239.67</v>
      </c>
      <c r="D7" s="17" t="n">
        <f aca="false">SUMIFS(Raw_Data!N3:N252,Raw_Data!K3:K252,A7,Raw_Data!G3:G252,D4)</f>
        <v>6399.71</v>
      </c>
      <c r="E7" s="69" t="n">
        <f aca="false">SUM(B7:D7)</f>
        <v>59288.39</v>
      </c>
      <c r="G7" s="16" t="s">
        <v>98</v>
      </c>
      <c r="H7" s="21" t="n">
        <f aca="false">COUNTIFS(Raw_Data!J3:J252,G7)</f>
        <v>54</v>
      </c>
      <c r="I7" s="17" t="n">
        <f aca="false">SUMIFS(Raw_Data!N3:N252,Raw_Data!J3:J252,G7)</f>
        <v>52118.31</v>
      </c>
      <c r="K7" s="16" t="s">
        <v>22</v>
      </c>
      <c r="L7" s="21" t="n">
        <f aca="false">COUNTIFS(Raw_Data!L3:L252,K7)</f>
        <v>95</v>
      </c>
      <c r="M7" s="17" t="n">
        <f aca="false">SUMIFS(Raw_Data!N3:N252,Raw_Data!L3:L252,K7)</f>
        <v>84657.12</v>
      </c>
    </row>
    <row r="8" customFormat="false" ht="15" hidden="false" customHeight="true" outlineLevel="0" collapsed="false">
      <c r="A8" s="52" t="s">
        <v>25</v>
      </c>
      <c r="B8" s="17" t="n">
        <f aca="false">SUMIFS(Raw_Data!N3:N252,Raw_Data!K3:K252,A8,Raw_Data!G3:G252,B4)</f>
        <v>31429.35</v>
      </c>
      <c r="C8" s="17" t="n">
        <f aca="false">SUMIFS(Raw_Data!N3:N252,Raw_Data!K3:K252,A8,Raw_Data!G3:G252,C4)</f>
        <v>1879.69</v>
      </c>
      <c r="D8" s="17" t="n">
        <f aca="false">SUMIFS(Raw_Data!N3:N252,Raw_Data!K3:K252,A8,Raw_Data!G3:G252,D4)</f>
        <v>8099.64</v>
      </c>
      <c r="E8" s="69" t="n">
        <f aca="false">SUM(B8:D8)</f>
        <v>41408.68</v>
      </c>
      <c r="G8" s="16" t="s">
        <v>82</v>
      </c>
      <c r="H8" s="21" t="n">
        <f aca="false">COUNTIFS(Raw_Data!J3:J252,G8)</f>
        <v>52</v>
      </c>
      <c r="I8" s="17" t="n">
        <f aca="false">SUMIFS(Raw_Data!N3:N252,Raw_Data!J3:J252,G8)</f>
        <v>58198.41</v>
      </c>
    </row>
    <row r="9" customFormat="false" ht="15" hidden="false" customHeight="true" outlineLevel="0" collapsed="false">
      <c r="A9" s="52" t="s">
        <v>27</v>
      </c>
      <c r="B9" s="17" t="n">
        <f aca="false">SUMIFS(Raw_Data!N3:N252,Raw_Data!K3:K252,A9,Raw_Data!G3:G252,B4)</f>
        <v>24889.33</v>
      </c>
      <c r="C9" s="17" t="n">
        <f aca="false">SUMIFS(Raw_Data!N3:N252,Raw_Data!K3:K252,A9,Raw_Data!G3:G252,C4)</f>
        <v>1999.71</v>
      </c>
      <c r="D9" s="17" t="n">
        <f aca="false">SUMIFS(Raw_Data!N3:N252,Raw_Data!K3:K252,A9,Raw_Data!G3:G252,D4)</f>
        <v>14399.3</v>
      </c>
      <c r="E9" s="69" t="n">
        <f aca="false">SUM(B9:D9)</f>
        <v>41288.34</v>
      </c>
      <c r="G9" s="52" t="s">
        <v>528</v>
      </c>
      <c r="H9" s="45" t="n">
        <f aca="false">SUM(H5:H8)</f>
        <v>250</v>
      </c>
      <c r="I9" s="70" t="n">
        <f aca="false">SUM(I5:I8)</f>
        <v>229192.47</v>
      </c>
    </row>
    <row r="10" customFormat="false" ht="15" hidden="false" customHeight="true" outlineLevel="0" collapsed="false">
      <c r="A10" s="52" t="s">
        <v>527</v>
      </c>
      <c r="B10" s="71" t="n">
        <f aca="false">SUM(B5:B9)</f>
        <v>171756.05</v>
      </c>
      <c r="C10" s="71" t="n">
        <f aca="false">SUM(C5:C9)</f>
        <v>8338.74</v>
      </c>
      <c r="D10" s="71" t="n">
        <f aca="false">SUM(D5:D9)</f>
        <v>49097.68</v>
      </c>
      <c r="E10" s="71" t="n">
        <f aca="false">SUM(E5:E9)</f>
        <v>229192.47</v>
      </c>
    </row>
  </sheetData>
  <mergeCells count="4">
    <mergeCell ref="A1:M1"/>
    <mergeCell ref="A3:E3"/>
    <mergeCell ref="G3:I3"/>
    <mergeCell ref="K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6" min="4" style="1" width="20"/>
    <col collapsed="false" customWidth="true" hidden="false" outlineLevel="0" max="7" min="7" style="1" width="3"/>
  </cols>
  <sheetData>
    <row r="1" customFormat="false" ht="36" hidden="false" customHeight="true" outlineLevel="0" collapsed="false">
      <c r="B1" s="72" t="s">
        <v>529</v>
      </c>
      <c r="C1" s="72"/>
      <c r="D1" s="72"/>
      <c r="E1" s="72"/>
      <c r="F1" s="72"/>
    </row>
    <row r="2" customFormat="false" ht="19.5" hidden="false" customHeight="true" outlineLevel="0" collapsed="false">
      <c r="B2" s="72"/>
      <c r="C2" s="72"/>
      <c r="D2" s="72"/>
      <c r="E2" s="72"/>
      <c r="F2" s="72"/>
    </row>
    <row r="3" customFormat="false" ht="19.5" hidden="false" customHeight="true" outlineLevel="0" collapsed="false">
      <c r="B3" s="72"/>
      <c r="C3" s="72"/>
      <c r="D3" s="72"/>
      <c r="E3" s="72"/>
      <c r="F3" s="72"/>
    </row>
    <row r="4" customFormat="false" ht="15" hidden="false" customHeight="true" outlineLevel="0" collapsed="false">
      <c r="B4" s="73" t="s">
        <v>530</v>
      </c>
      <c r="C4" s="73"/>
      <c r="D4" s="73"/>
      <c r="E4" s="73"/>
      <c r="F4" s="73"/>
    </row>
    <row r="6" customFormat="false" ht="24" hidden="false" customHeight="true" outlineLevel="0" collapsed="false">
      <c r="B6" s="74" t="s">
        <v>531</v>
      </c>
      <c r="C6" s="74"/>
      <c r="D6" s="74"/>
      <c r="E6" s="74"/>
      <c r="F6" s="74"/>
    </row>
    <row r="7" customFormat="false" ht="18" hidden="false" customHeight="true" outlineLevel="0" collapsed="false">
      <c r="B7" s="75" t="s">
        <v>532</v>
      </c>
      <c r="C7" s="76" t="s">
        <v>533</v>
      </c>
      <c r="D7" s="76"/>
      <c r="E7" s="76"/>
      <c r="F7" s="76"/>
    </row>
    <row r="8" customFormat="false" ht="18" hidden="false" customHeight="true" outlineLevel="0" collapsed="false">
      <c r="B8" s="77" t="s">
        <v>534</v>
      </c>
      <c r="C8" s="78" t="str">
        <f aca="false">TEXT(MIN(Raw_Data!B3:B252),"mmm-yyyy")&amp;" to "&amp;TEXT(MAX(Raw_Data!B3:B252),"mmm-yyyy")</f>
        <v>Apr-2024 to Apr-2025</v>
      </c>
      <c r="D8" s="78"/>
      <c r="E8" s="78"/>
      <c r="F8" s="78"/>
    </row>
    <row r="9" customFormat="false" ht="18" hidden="false" customHeight="true" outlineLevel="0" collapsed="false">
      <c r="B9" s="75" t="s">
        <v>445</v>
      </c>
      <c r="C9" s="76" t="n">
        <f aca="false">ROUND(SUM(Raw_Data!N3:N252),2)</f>
        <v>229192.47</v>
      </c>
      <c r="D9" s="76"/>
      <c r="E9" s="76"/>
      <c r="F9" s="76"/>
    </row>
    <row r="10" customFormat="false" ht="18" hidden="false" customHeight="true" outlineLevel="0" collapsed="false">
      <c r="B10" s="77" t="s">
        <v>491</v>
      </c>
      <c r="C10" s="78" t="n">
        <f aca="false">ROUND(AVERAGE(Raw_Data!N3:N252),2)</f>
        <v>916.77</v>
      </c>
      <c r="D10" s="78"/>
      <c r="E10" s="78"/>
      <c r="F10" s="78"/>
    </row>
    <row r="11" customFormat="false" ht="18" hidden="false" customHeight="true" outlineLevel="0" collapsed="false">
      <c r="B11" s="75" t="s">
        <v>535</v>
      </c>
      <c r="C11" s="76" t="str">
        <f aca="false">INDEX(Analysis!A5:A9,MATCH(MAX(Analysis!C5:C9),Analysis!C5:C9,0))</f>
        <v>East</v>
      </c>
      <c r="D11" s="76"/>
      <c r="E11" s="76"/>
      <c r="F11" s="76"/>
    </row>
    <row r="12" customFormat="false" ht="18" hidden="false" customHeight="true" outlineLevel="0" collapsed="false">
      <c r="B12" s="77" t="s">
        <v>536</v>
      </c>
      <c r="C12" s="78" t="str">
        <f aca="false">INDEX(Raw_Data!F3:F252,MATCH(MAX(COUNTIF(Raw_Data!F3:F252,Raw_Data!F3:F252)),COUNTIF(Raw_Data!F3:F252,Raw_Data!F3:F252),0))</f>
        <v>Blender</v>
      </c>
      <c r="D12" s="78"/>
      <c r="E12" s="78"/>
      <c r="F12" s="78"/>
    </row>
    <row r="14" customFormat="false" ht="24" hidden="false" customHeight="true" outlineLevel="0" collapsed="false">
      <c r="B14" s="74" t="s">
        <v>537</v>
      </c>
      <c r="C14" s="74"/>
      <c r="D14" s="74"/>
      <c r="E14" s="74"/>
      <c r="F14" s="74"/>
    </row>
    <row r="15" customFormat="false" ht="18" hidden="false" customHeight="true" outlineLevel="0" collapsed="false">
      <c r="B15" s="75" t="s">
        <v>538</v>
      </c>
      <c r="C15" s="76" t="s">
        <v>539</v>
      </c>
      <c r="D15" s="76"/>
      <c r="E15" s="76"/>
      <c r="F15" s="76"/>
    </row>
    <row r="16" customFormat="false" ht="18" hidden="false" customHeight="true" outlineLevel="0" collapsed="false">
      <c r="B16" s="77" t="s">
        <v>540</v>
      </c>
      <c r="C16" s="78" t="s">
        <v>541</v>
      </c>
      <c r="D16" s="78"/>
      <c r="E16" s="78"/>
      <c r="F16" s="78"/>
    </row>
    <row r="17" customFormat="false" ht="18" hidden="false" customHeight="true" outlineLevel="0" collapsed="false">
      <c r="B17" s="75" t="s">
        <v>542</v>
      </c>
      <c r="C17" s="76" t="s">
        <v>543</v>
      </c>
      <c r="D17" s="76"/>
      <c r="E17" s="76"/>
      <c r="F17" s="76"/>
    </row>
    <row r="18" customFormat="false" ht="18" hidden="false" customHeight="true" outlineLevel="0" collapsed="false">
      <c r="B18" s="77" t="s">
        <v>544</v>
      </c>
      <c r="C18" s="78" t="s">
        <v>545</v>
      </c>
      <c r="D18" s="78"/>
      <c r="E18" s="78"/>
      <c r="F18" s="78"/>
    </row>
    <row r="19" customFormat="false" ht="18" hidden="false" customHeight="true" outlineLevel="0" collapsed="false">
      <c r="B19" s="75" t="s">
        <v>546</v>
      </c>
      <c r="C19" s="76" t="s">
        <v>547</v>
      </c>
      <c r="D19" s="76"/>
      <c r="E19" s="76"/>
      <c r="F19" s="76"/>
    </row>
    <row r="20" customFormat="false" ht="18" hidden="false" customHeight="true" outlineLevel="0" collapsed="false">
      <c r="B20" s="77" t="s">
        <v>548</v>
      </c>
      <c r="C20" s="78" t="s">
        <v>549</v>
      </c>
      <c r="D20" s="78"/>
      <c r="E20" s="78"/>
      <c r="F20" s="78"/>
    </row>
    <row r="21" customFormat="false" ht="18" hidden="false" customHeight="true" outlineLevel="0" collapsed="false">
      <c r="B21" s="75" t="s">
        <v>550</v>
      </c>
      <c r="C21" s="76" t="s">
        <v>551</v>
      </c>
      <c r="D21" s="76"/>
      <c r="E21" s="76"/>
      <c r="F21" s="76"/>
    </row>
    <row r="22" customFormat="false" ht="18" hidden="false" customHeight="true" outlineLevel="0" collapsed="false">
      <c r="B22" s="77" t="s">
        <v>552</v>
      </c>
      <c r="C22" s="78" t="s">
        <v>553</v>
      </c>
      <c r="D22" s="78"/>
      <c r="E22" s="78"/>
      <c r="F22" s="78"/>
    </row>
    <row r="23" customFormat="false" ht="18" hidden="false" customHeight="true" outlineLevel="0" collapsed="false">
      <c r="B23" s="75" t="s">
        <v>554</v>
      </c>
      <c r="C23" s="76" t="s">
        <v>555</v>
      </c>
      <c r="D23" s="76"/>
      <c r="E23" s="76"/>
      <c r="F23" s="76"/>
    </row>
    <row r="24" customFormat="false" ht="18" hidden="false" customHeight="true" outlineLevel="0" collapsed="false">
      <c r="B24" s="77" t="s">
        <v>556</v>
      </c>
      <c r="C24" s="78" t="s">
        <v>557</v>
      </c>
      <c r="D24" s="78"/>
      <c r="E24" s="78"/>
      <c r="F24" s="78"/>
    </row>
    <row r="26" customFormat="false" ht="24" hidden="false" customHeight="true" outlineLevel="0" collapsed="false">
      <c r="B26" s="74" t="s">
        <v>558</v>
      </c>
      <c r="C26" s="74"/>
      <c r="D26" s="74"/>
      <c r="E26" s="74"/>
      <c r="F26" s="74"/>
    </row>
    <row r="27" customFormat="false" ht="18" hidden="false" customHeight="true" outlineLevel="0" collapsed="false">
      <c r="B27" s="75" t="s">
        <v>559</v>
      </c>
      <c r="C27" s="76" t="s">
        <v>560</v>
      </c>
      <c r="D27" s="76"/>
      <c r="E27" s="76"/>
      <c r="F27" s="76"/>
    </row>
    <row r="28" customFormat="false" ht="18" hidden="false" customHeight="true" outlineLevel="0" collapsed="false">
      <c r="B28" s="77" t="s">
        <v>561</v>
      </c>
      <c r="C28" s="78" t="s">
        <v>562</v>
      </c>
      <c r="D28" s="78"/>
      <c r="E28" s="78"/>
      <c r="F28" s="78"/>
    </row>
    <row r="29" customFormat="false" ht="18" hidden="false" customHeight="true" outlineLevel="0" collapsed="false">
      <c r="B29" s="75" t="s">
        <v>563</v>
      </c>
      <c r="C29" s="76" t="s">
        <v>564</v>
      </c>
      <c r="D29" s="76"/>
      <c r="E29" s="76"/>
      <c r="F29" s="76"/>
    </row>
    <row r="30" customFormat="false" ht="18" hidden="false" customHeight="true" outlineLevel="0" collapsed="false">
      <c r="B30" s="77" t="s">
        <v>565</v>
      </c>
      <c r="C30" s="78" t="s">
        <v>566</v>
      </c>
      <c r="D30" s="78"/>
      <c r="E30" s="78"/>
      <c r="F30" s="78"/>
    </row>
    <row r="31" customFormat="false" ht="18" hidden="false" customHeight="true" outlineLevel="0" collapsed="false">
      <c r="B31" s="75" t="s">
        <v>567</v>
      </c>
      <c r="C31" s="76" t="s">
        <v>568</v>
      </c>
      <c r="D31" s="76"/>
      <c r="E31" s="76"/>
      <c r="F31" s="76"/>
    </row>
    <row r="32" customFormat="false" ht="18" hidden="false" customHeight="true" outlineLevel="0" collapsed="false">
      <c r="B32" s="77" t="s">
        <v>569</v>
      </c>
      <c r="C32" s="78" t="s">
        <v>570</v>
      </c>
      <c r="D32" s="78"/>
      <c r="E32" s="78"/>
      <c r="F32" s="78"/>
    </row>
    <row r="33" customFormat="false" ht="18" hidden="false" customHeight="true" outlineLevel="0" collapsed="false">
      <c r="B33" s="75" t="s">
        <v>571</v>
      </c>
      <c r="C33" s="76" t="s">
        <v>572</v>
      </c>
      <c r="D33" s="76"/>
      <c r="E33" s="76"/>
      <c r="F33" s="76"/>
    </row>
    <row r="34" customFormat="false" ht="18" hidden="false" customHeight="true" outlineLevel="0" collapsed="false">
      <c r="B34" s="77" t="s">
        <v>573</v>
      </c>
      <c r="C34" s="78" t="s">
        <v>574</v>
      </c>
      <c r="D34" s="78"/>
      <c r="E34" s="78"/>
      <c r="F34" s="78"/>
    </row>
    <row r="36" customFormat="false" ht="15" hidden="false" customHeight="true" outlineLevel="0" collapsed="false">
      <c r="B36" s="58" t="str">
        <f aca="true">"Report generated: "&amp;TEXT(TODAY(),"dd mmmm yyyy")</f>
        <v>Report generated: 14 May 2026</v>
      </c>
      <c r="C36" s="58"/>
      <c r="D36" s="58"/>
      <c r="E36" s="58"/>
      <c r="F36" s="58"/>
    </row>
  </sheetData>
  <mergeCells count="30">
    <mergeCell ref="B1:F3"/>
    <mergeCell ref="B4:F4"/>
    <mergeCell ref="B6:F6"/>
    <mergeCell ref="C7:F7"/>
    <mergeCell ref="C8:F8"/>
    <mergeCell ref="C9:F9"/>
    <mergeCell ref="C10:F10"/>
    <mergeCell ref="C11:F11"/>
    <mergeCell ref="C12:F12"/>
    <mergeCell ref="B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B26:F26"/>
    <mergeCell ref="C27:F27"/>
    <mergeCell ref="C28:F28"/>
    <mergeCell ref="C29:F29"/>
    <mergeCell ref="C30:F30"/>
    <mergeCell ref="C31:F31"/>
    <mergeCell ref="C32:F32"/>
    <mergeCell ref="C33:F33"/>
    <mergeCell ref="C34:F34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2026-05-14T08:18:09Z</dcterms:created>
  <dc:creator>openpyxl</dc:creator>
  <dc:description/>
  <dc:language>en-US</dc:language>
  <cp:lastModifiedBy/>
  <dcterms:modified xsi:type="dcterms:W3CDTF">2026-05-14T08:18:29Z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